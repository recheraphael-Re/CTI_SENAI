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showInkAnnotation="0" autoCompressPictures="0"/>
  <xr:revisionPtr revIDLastSave="1" documentId="11_B058CEDF83524A9055758732F8E1A703BAC7CEB5" xr6:coauthVersionLast="47" xr6:coauthVersionMax="47" xr10:uidLastSave="{53BD55E2-C2D6-433F-9A8D-4DDCFFF5B5FD}"/>
  <bookViews>
    <workbookView xWindow="0" yWindow="0" windowWidth="0" windowHeight="0" xr2:uid="{00000000-000D-0000-FFFF-FFFF00000000}"/>
  </bookViews>
  <sheets>
    <sheet name="dados_importacao" sheetId="1" r:id="rId1"/>
    <sheet name="gabarito_erros" sheetId="2" r:id="rId2"/>
    <sheet name="listas_referencia" sheetId="3" r:id="rId3"/>
    <sheet name="resumo" sheetId="4" r:id="rId4"/>
    <sheet name="instruco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4" l="1"/>
  <c r="B7" i="4"/>
  <c r="B6" i="4"/>
  <c r="B5" i="4"/>
  <c r="B3" i="4"/>
</calcChain>
</file>

<file path=xl/sharedStrings.xml><?xml version="1.0" encoding="utf-8"?>
<sst xmlns="http://schemas.openxmlformats.org/spreadsheetml/2006/main" count="2308" uniqueCount="732">
  <si>
    <t>codigo_cliente</t>
  </si>
  <si>
    <t>cliente</t>
  </si>
  <si>
    <t>consultor</t>
  </si>
  <si>
    <t>segmento</t>
  </si>
  <si>
    <t>nivel</t>
  </si>
  <si>
    <t>faturamento_mensal</t>
  </si>
  <si>
    <t>servico</t>
  </si>
  <si>
    <t>valor_servico</t>
  </si>
  <si>
    <t>status_contrato</t>
  </si>
  <si>
    <t>data_inicio</t>
  </si>
  <si>
    <t>CLI0001</t>
  </si>
  <si>
    <t>Tech Central 001</t>
  </si>
  <si>
    <t>Gabriel Rocha</t>
  </si>
  <si>
    <t>Serviços</t>
  </si>
  <si>
    <t>A</t>
  </si>
  <si>
    <t>Link Corporativo</t>
  </si>
  <si>
    <t>ATIVO</t>
  </si>
  <si>
    <t>CLI0002</t>
  </si>
  <si>
    <t>Mercado Prime 002</t>
  </si>
  <si>
    <t>Financeiro</t>
  </si>
  <si>
    <t>B</t>
  </si>
  <si>
    <t>Firewall Gerenciado</t>
  </si>
  <si>
    <t>CLI0003</t>
  </si>
  <si>
    <t>Farma Horizonte 003</t>
  </si>
  <si>
    <t>Carla Mendes</t>
  </si>
  <si>
    <t>SAUDE</t>
  </si>
  <si>
    <t>CLI0004</t>
  </si>
  <si>
    <t>Alimentos Futuro 004</t>
  </si>
  <si>
    <t>Diego Santos</t>
  </si>
  <si>
    <t>Indústria</t>
  </si>
  <si>
    <t>C</t>
  </si>
  <si>
    <t>SD-WAN</t>
  </si>
  <si>
    <t>CLI0005</t>
  </si>
  <si>
    <t>Banco Mais 005</t>
  </si>
  <si>
    <t>Ana Souza</t>
  </si>
  <si>
    <t>Tecnologia</t>
  </si>
  <si>
    <t>CLI0006</t>
  </si>
  <si>
    <t>Clínica Brasil 006</t>
  </si>
  <si>
    <t>Fernanda Alves</t>
  </si>
  <si>
    <t>tecnologia</t>
  </si>
  <si>
    <t>Cloud Backup</t>
  </si>
  <si>
    <t>PENDENTE</t>
  </si>
  <si>
    <t>CLI0007</t>
  </si>
  <si>
    <t>Indústria Horizonte 007</t>
  </si>
  <si>
    <t>serviços</t>
  </si>
  <si>
    <t>Wi-Fi Corporativo</t>
  </si>
  <si>
    <t>CANCELADO</t>
  </si>
  <si>
    <t>CLI0008</t>
  </si>
  <si>
    <t>Transportes Ideal 008</t>
  </si>
  <si>
    <t>Bruno Lima</t>
  </si>
  <si>
    <t>Backup Corporativo</t>
  </si>
  <si>
    <t>CLI0009</t>
  </si>
  <si>
    <t>Transportes Verde 009</t>
  </si>
  <si>
    <t>Varejo</t>
  </si>
  <si>
    <t>CLI0010</t>
  </si>
  <si>
    <t>Agro Central 010</t>
  </si>
  <si>
    <t>CLI0011</t>
  </si>
  <si>
    <t>Mercado Ideal 011</t>
  </si>
  <si>
    <t>Saúde</t>
  </si>
  <si>
    <t>CLI0012</t>
  </si>
  <si>
    <t>Transportes Paulista 012</t>
  </si>
  <si>
    <t>CLI0013</t>
  </si>
  <si>
    <t>Comercial Nova 013</t>
  </si>
  <si>
    <t>CLI0014</t>
  </si>
  <si>
    <t>Transportes Sul 014</t>
  </si>
  <si>
    <t>Construção</t>
  </si>
  <si>
    <t>CLI0015</t>
  </si>
  <si>
    <t>Comercial Campinas 015</t>
  </si>
  <si>
    <t>Logística</t>
  </si>
  <si>
    <t>CLI0016</t>
  </si>
  <si>
    <t>Banco Central 016</t>
  </si>
  <si>
    <t>CLI0017</t>
  </si>
  <si>
    <t>Transportes Verde 017</t>
  </si>
  <si>
    <t>Tech Alfa 018</t>
  </si>
  <si>
    <t>CLI0019</t>
  </si>
  <si>
    <t>Banco Vida 019</t>
  </si>
  <si>
    <t>Internet Dedicada</t>
  </si>
  <si>
    <t>CLI0020</t>
  </si>
  <si>
    <t>Farma Verde 020</t>
  </si>
  <si>
    <t>CLI0021</t>
  </si>
  <si>
    <t>Comercial Nacional 021</t>
  </si>
  <si>
    <t>Telefonia IP</t>
  </si>
  <si>
    <t>CLI0022</t>
  </si>
  <si>
    <t>Indústria Horizonte 022</t>
  </si>
  <si>
    <t>telefonia ip</t>
  </si>
  <si>
    <t>CLI0023</t>
  </si>
  <si>
    <t>Banco Campinas 023</t>
  </si>
  <si>
    <t>Agronegócio</t>
  </si>
  <si>
    <t>CLI0024</t>
  </si>
  <si>
    <t>Hospital Ideal 024</t>
  </si>
  <si>
    <t>CLI0025</t>
  </si>
  <si>
    <t>Mercado Express 025</t>
  </si>
  <si>
    <t>CLI0026</t>
  </si>
  <si>
    <t>Banco Paulista 026</t>
  </si>
  <si>
    <t>CLI0027</t>
  </si>
  <si>
    <t>Transportes Ideal 027</t>
  </si>
  <si>
    <t>CLI0028</t>
  </si>
  <si>
    <t>Soluções Ideal 028</t>
  </si>
  <si>
    <t>CLI0029</t>
  </si>
  <si>
    <t>Escola Express 029</t>
  </si>
  <si>
    <t>Educação</t>
  </si>
  <si>
    <t>CLI0030</t>
  </si>
  <si>
    <t>Farma Sul 030</t>
  </si>
  <si>
    <t>CLI0031</t>
  </si>
  <si>
    <t>Farma Sul 031</t>
  </si>
  <si>
    <t>INTERNET DEDICADA</t>
  </si>
  <si>
    <t>CLI0032</t>
  </si>
  <si>
    <t>Agro Brasil 032</t>
  </si>
  <si>
    <t>CLI0033</t>
  </si>
  <si>
    <t>Banco Central 033</t>
  </si>
  <si>
    <t>CLI0034</t>
  </si>
  <si>
    <t>Hospital Central 034</t>
  </si>
  <si>
    <t>SERVIÇOS</t>
  </si>
  <si>
    <t>CLI0035</t>
  </si>
  <si>
    <t>Tech Campinas 035</t>
  </si>
  <si>
    <t>Hospital Futuro 036</t>
  </si>
  <si>
    <t>CLI0037</t>
  </si>
  <si>
    <t>Farma Campinas 037</t>
  </si>
  <si>
    <t>CLI0038</t>
  </si>
  <si>
    <t>Alimentos Express 038</t>
  </si>
  <si>
    <t>CLI0039</t>
  </si>
  <si>
    <t>Banco Mais 039</t>
  </si>
  <si>
    <t>TECNOLOGIA</t>
  </si>
  <si>
    <t>CLI0040</t>
  </si>
  <si>
    <t>Soluções Campinas 040</t>
  </si>
  <si>
    <t>CLI0041</t>
  </si>
  <si>
    <t>Alimentos Alfa 041</t>
  </si>
  <si>
    <t>CLI0042</t>
  </si>
  <si>
    <t>Alimentos Nacional 042</t>
  </si>
  <si>
    <t>CLI0043</t>
  </si>
  <si>
    <t>Soluções Nova 043</t>
  </si>
  <si>
    <t>CLI0044</t>
  </si>
  <si>
    <t>Transportes Nova 044</t>
  </si>
  <si>
    <t>CLI0045</t>
  </si>
  <si>
    <t>Farma Campinas 045</t>
  </si>
  <si>
    <t>CLI0046</t>
  </si>
  <si>
    <t>Banco Verde 046</t>
  </si>
  <si>
    <t>CLI0047</t>
  </si>
  <si>
    <t>Mercado Campinas 047</t>
  </si>
  <si>
    <t>CLI0048</t>
  </si>
  <si>
    <t>Agro Campinas 048</t>
  </si>
  <si>
    <t>CLI0049</t>
  </si>
  <si>
    <t>Agro Vida 049</t>
  </si>
  <si>
    <t>CLI0050</t>
  </si>
  <si>
    <t>Mercado Nova 050</t>
  </si>
  <si>
    <t>CLI0051</t>
  </si>
  <si>
    <t>Escola Futuro 051</t>
  </si>
  <si>
    <t>Servicos</t>
  </si>
  <si>
    <t>CLI0052</t>
  </si>
  <si>
    <t>Banco Futuro 052</t>
  </si>
  <si>
    <t>CLI0053</t>
  </si>
  <si>
    <t>Hospital Central 053</t>
  </si>
  <si>
    <t>D</t>
  </si>
  <si>
    <t>CLI0054</t>
  </si>
  <si>
    <t>Farma Brasil 054</t>
  </si>
  <si>
    <t>CLI0055</t>
  </si>
  <si>
    <t>Hospital Nova 055</t>
  </si>
  <si>
    <t>CLI0056</t>
  </si>
  <si>
    <t>Escola Verde 056</t>
  </si>
  <si>
    <t>CLI0057</t>
  </si>
  <si>
    <t>Clínica Nova 057</t>
  </si>
  <si>
    <t>CLI0058</t>
  </si>
  <si>
    <t>Banco Campinas 058</t>
  </si>
  <si>
    <t>CLI0059</t>
  </si>
  <si>
    <t>Logística Express 059</t>
  </si>
  <si>
    <t>CLI0060</t>
  </si>
  <si>
    <t>Construtora Prime 060</t>
  </si>
  <si>
    <t>CLI0061</t>
  </si>
  <si>
    <t>Banco Paulista 061</t>
  </si>
  <si>
    <t>CLI0062</t>
  </si>
  <si>
    <t>Tech Central 062</t>
  </si>
  <si>
    <t>CLI0063</t>
  </si>
  <si>
    <t>Digital Verde 063</t>
  </si>
  <si>
    <t>TELEFONIA IP</t>
  </si>
  <si>
    <t>CLI0064</t>
  </si>
  <si>
    <t>Farma Nova 064</t>
  </si>
  <si>
    <t>CLI0065</t>
  </si>
  <si>
    <t>Construtora Prime 065</t>
  </si>
  <si>
    <t>IND.</t>
  </si>
  <si>
    <t>CLI0066</t>
  </si>
  <si>
    <t>Banco Mais 066</t>
  </si>
  <si>
    <t>CLI0067</t>
  </si>
  <si>
    <t>Farma Futuro 067</t>
  </si>
  <si>
    <t>LINK CORPORATIVO</t>
  </si>
  <si>
    <t>CLI0068</t>
  </si>
  <si>
    <t>Alimentos Futuro 068</t>
  </si>
  <si>
    <t>CLI0069</t>
  </si>
  <si>
    <t>Hospital Ideal 069</t>
  </si>
  <si>
    <t>CLI0070</t>
  </si>
  <si>
    <t>Escola Verde 070</t>
  </si>
  <si>
    <t>CLI0071</t>
  </si>
  <si>
    <t>Soluções Paulista 071</t>
  </si>
  <si>
    <t>CLI0072</t>
  </si>
  <si>
    <t>Indústria Express 072</t>
  </si>
  <si>
    <t>CLI0073</t>
  </si>
  <si>
    <t>Alimentos Nacional 073</t>
  </si>
  <si>
    <t>CLI0074</t>
  </si>
  <si>
    <t>Transportes Mais 074</t>
  </si>
  <si>
    <t>CLI0075</t>
  </si>
  <si>
    <t>Clínica Nova 075</t>
  </si>
  <si>
    <t>CLI0076</t>
  </si>
  <si>
    <t>Farma Verde 076</t>
  </si>
  <si>
    <t>CLI0077</t>
  </si>
  <si>
    <t>Hospital Ideal 077</t>
  </si>
  <si>
    <t>CLI0078</t>
  </si>
  <si>
    <t>Logística Horizonte 078</t>
  </si>
  <si>
    <t>Digital Nova 079</t>
  </si>
  <si>
    <t>CLI0080</t>
  </si>
  <si>
    <t>Soluções Alfa 080</t>
  </si>
  <si>
    <t>CLI0081</t>
  </si>
  <si>
    <t>Mercado Sul 081</t>
  </si>
  <si>
    <t>CLI0082</t>
  </si>
  <si>
    <t>Digital Horizonte 082</t>
  </si>
  <si>
    <t>CLI0083</t>
  </si>
  <si>
    <t>Clínica Nacional 083</t>
  </si>
  <si>
    <t>internet dedicada</t>
  </si>
  <si>
    <t>CLI0084</t>
  </si>
  <si>
    <t>Banco Nacional 084</t>
  </si>
  <si>
    <t>Saude</t>
  </si>
  <si>
    <t>INATIVO</t>
  </si>
  <si>
    <t>CLI0085</t>
  </si>
  <si>
    <t>Alimentos Ideal 085</t>
  </si>
  <si>
    <t>CLI0086</t>
  </si>
  <si>
    <t>Agro Express 086</t>
  </si>
  <si>
    <t>CLI0087</t>
  </si>
  <si>
    <t>Mercado Campinas 087</t>
  </si>
  <si>
    <t>CLI0088</t>
  </si>
  <si>
    <t>Banco Paulista 088</t>
  </si>
  <si>
    <t>CLI0089</t>
  </si>
  <si>
    <t>Alimentos Alfa 089</t>
  </si>
  <si>
    <t>CLI0090</t>
  </si>
  <si>
    <t>Logística Ideal 090</t>
  </si>
  <si>
    <t>CLI0091</t>
  </si>
  <si>
    <t>Alimentos Vida 091</t>
  </si>
  <si>
    <t>CLI0092</t>
  </si>
  <si>
    <t>Clínica Campinas 092</t>
  </si>
  <si>
    <t>CLI0093</t>
  </si>
  <si>
    <t>Tech Nova 093</t>
  </si>
  <si>
    <t>CLI0094</t>
  </si>
  <si>
    <t>Farma Futuro 094</t>
  </si>
  <si>
    <t>link corporativo</t>
  </si>
  <si>
    <t>CLI0095</t>
  </si>
  <si>
    <t>Farma Sul 095</t>
  </si>
  <si>
    <t>CLI0096</t>
  </si>
  <si>
    <t>Alimentos Nova 096</t>
  </si>
  <si>
    <t>Alimentos Vida 097</t>
  </si>
  <si>
    <t>CLI0098</t>
  </si>
  <si>
    <t>Construtora Vida 098</t>
  </si>
  <si>
    <t>CLI0099</t>
  </si>
  <si>
    <t>Transportes Ideal 099</t>
  </si>
  <si>
    <t>CLI0100</t>
  </si>
  <si>
    <t>Mercado Brasil 100</t>
  </si>
  <si>
    <t>varejo</t>
  </si>
  <si>
    <t>CLI0101</t>
  </si>
  <si>
    <t>Alimentos Nova 101</t>
  </si>
  <si>
    <t>CLI0102</t>
  </si>
  <si>
    <t>Digital Nacional 102</t>
  </si>
  <si>
    <t>CLI0103</t>
  </si>
  <si>
    <t>Hospital Campinas 103</t>
  </si>
  <si>
    <t>CLI0104</t>
  </si>
  <si>
    <t>Construtora Nacional 104</t>
  </si>
  <si>
    <t>CLI0105</t>
  </si>
  <si>
    <t>Soluções Vida 105</t>
  </si>
  <si>
    <t>Industria</t>
  </si>
  <si>
    <t>CLI0106</t>
  </si>
  <si>
    <t>Tech Nacional 106</t>
  </si>
  <si>
    <t>CLI0107</t>
  </si>
  <si>
    <t>Construtora Sul 107</t>
  </si>
  <si>
    <t>CLI0108</t>
  </si>
  <si>
    <t>Banco Nacional 108</t>
  </si>
  <si>
    <t>CLI0109</t>
  </si>
  <si>
    <t>Escola Ideal 109</t>
  </si>
  <si>
    <t>CLI0110</t>
  </si>
  <si>
    <t>Clínica Prime 110</t>
  </si>
  <si>
    <t>CLI0111</t>
  </si>
  <si>
    <t>Indústria Sul 111</t>
  </si>
  <si>
    <t>CLI0112</t>
  </si>
  <si>
    <t>Farma Ideal 112</t>
  </si>
  <si>
    <t>E</t>
  </si>
  <si>
    <t>CLI0113</t>
  </si>
  <si>
    <t>Indústria Nova 113</t>
  </si>
  <si>
    <t>CLI0114</t>
  </si>
  <si>
    <t>Comercial Horizonte 114</t>
  </si>
  <si>
    <t>CLI0115</t>
  </si>
  <si>
    <t>Logística Vida 115</t>
  </si>
  <si>
    <t>CLI0116</t>
  </si>
  <si>
    <t>Comercial Futuro 116</t>
  </si>
  <si>
    <t>CLI0117</t>
  </si>
  <si>
    <t>Farma Futuro 117</t>
  </si>
  <si>
    <t>CLI0118</t>
  </si>
  <si>
    <t>CLI0119</t>
  </si>
  <si>
    <t>Banco Futuro 119</t>
  </si>
  <si>
    <t>CLI0120</t>
  </si>
  <si>
    <t>Alimentos Horizonte 120</t>
  </si>
  <si>
    <t>Logistica</t>
  </si>
  <si>
    <t>CLI0121</t>
  </si>
  <si>
    <t>Clínica Mais 121</t>
  </si>
  <si>
    <t>CLI0122</t>
  </si>
  <si>
    <t>Digital Express 122</t>
  </si>
  <si>
    <t>CLI0123</t>
  </si>
  <si>
    <t>Hospital Verde 123</t>
  </si>
  <si>
    <t>CLI0124</t>
  </si>
  <si>
    <t>Indústria Nova 124</t>
  </si>
  <si>
    <t>CLI0125</t>
  </si>
  <si>
    <t>Indústria Horizonte 125</t>
  </si>
  <si>
    <t>logística</t>
  </si>
  <si>
    <t>CLI0126</t>
  </si>
  <si>
    <t>Comercial Campinas 126</t>
  </si>
  <si>
    <t>CLI0127</t>
  </si>
  <si>
    <t>Transportes Vida 127</t>
  </si>
  <si>
    <t>CLI0128</t>
  </si>
  <si>
    <t>Banco Sul 128</t>
  </si>
  <si>
    <t>CLI0129</t>
  </si>
  <si>
    <t>Transportes Brasil 129</t>
  </si>
  <si>
    <t>CLI0130</t>
  </si>
  <si>
    <t>Comercial Express 130</t>
  </si>
  <si>
    <t>CLI0131</t>
  </si>
  <si>
    <t>Alimentos Express 131</t>
  </si>
  <si>
    <t>CLI0132</t>
  </si>
  <si>
    <t>Logística Futuro 132</t>
  </si>
  <si>
    <t>CLI0133</t>
  </si>
  <si>
    <t>Clínica Nova 133</t>
  </si>
  <si>
    <t>CLI0134</t>
  </si>
  <si>
    <t>Banco Central 134</t>
  </si>
  <si>
    <t>CLI0135</t>
  </si>
  <si>
    <t>Soluções Express 135</t>
  </si>
  <si>
    <t>CLI0136</t>
  </si>
  <si>
    <t>Comercial Nova 136</t>
  </si>
  <si>
    <t>indústria</t>
  </si>
  <si>
    <t>CLI0137</t>
  </si>
  <si>
    <t>Mercado Nova 137</t>
  </si>
  <si>
    <t>CLI0138</t>
  </si>
  <si>
    <t>Logística Vida 138</t>
  </si>
  <si>
    <t>CLI0139</t>
  </si>
  <si>
    <t>Agro Central 139</t>
  </si>
  <si>
    <t>CLI0140</t>
  </si>
  <si>
    <t>Logística Horizonte 140</t>
  </si>
  <si>
    <t>CLI0141</t>
  </si>
  <si>
    <t>Alimentos Alfa 141</t>
  </si>
  <si>
    <t>CLI0142</t>
  </si>
  <si>
    <t>Soluções Ideal 142</t>
  </si>
  <si>
    <t>ABERTO</t>
  </si>
  <si>
    <t>CLI0143</t>
  </si>
  <si>
    <t>Digital Express 143</t>
  </si>
  <si>
    <t>CLI0144</t>
  </si>
  <si>
    <t>Farma Vida 144</t>
  </si>
  <si>
    <t>CLI0145</t>
  </si>
  <si>
    <t>Comercial Express 145</t>
  </si>
  <si>
    <t>EDUCAÇÃO</t>
  </si>
  <si>
    <t>CLI0146</t>
  </si>
  <si>
    <t>Clínica Campinas 146</t>
  </si>
  <si>
    <t>CLI0147</t>
  </si>
  <si>
    <t>Clínica Nova 147</t>
  </si>
  <si>
    <t>CLI0148</t>
  </si>
  <si>
    <t>Transportes Paulista 148</t>
  </si>
  <si>
    <t>CLI0149</t>
  </si>
  <si>
    <t>Tech Ideal 149</t>
  </si>
  <si>
    <t>Tech Sul 150</t>
  </si>
  <si>
    <t>CLI0151</t>
  </si>
  <si>
    <t>Logística Vida 151</t>
  </si>
  <si>
    <t>CLI0152</t>
  </si>
  <si>
    <t>Banco Futuro 152</t>
  </si>
  <si>
    <t>CLI0153</t>
  </si>
  <si>
    <t>Clínica Vida 153</t>
  </si>
  <si>
    <t>CLI0154</t>
  </si>
  <si>
    <t>Transportes Horizonte 154</t>
  </si>
  <si>
    <t>CLI0155</t>
  </si>
  <si>
    <t>Transportes Nacional 155</t>
  </si>
  <si>
    <t>CLI0156</t>
  </si>
  <si>
    <t>Clínica Ideal 156</t>
  </si>
  <si>
    <t>31/02/2026</t>
  </si>
  <si>
    <t>CLI0157</t>
  </si>
  <si>
    <t>Transportes Brasil 157</t>
  </si>
  <si>
    <t>CLI0158</t>
  </si>
  <si>
    <t>Clínica Alfa 158</t>
  </si>
  <si>
    <t>CLI0159</t>
  </si>
  <si>
    <t>Comercial Mais 159</t>
  </si>
  <si>
    <t>CLI0160</t>
  </si>
  <si>
    <t>Farma Verde 160</t>
  </si>
  <si>
    <t>Transportes Paulista 161</t>
  </si>
  <si>
    <t>CLI0162</t>
  </si>
  <si>
    <t>Tech Alfa 162</t>
  </si>
  <si>
    <t>CLI0163</t>
  </si>
  <si>
    <t>Escola Verde 163</t>
  </si>
  <si>
    <t>CLI0164</t>
  </si>
  <si>
    <t>Alimentos Nova 164</t>
  </si>
  <si>
    <t>CLI0165</t>
  </si>
  <si>
    <t>Comercial Central 165</t>
  </si>
  <si>
    <t>CLI0166</t>
  </si>
  <si>
    <t>Construtora Paulista 166</t>
  </si>
  <si>
    <t>CLI0167</t>
  </si>
  <si>
    <t>Transportes Futuro 167</t>
  </si>
  <si>
    <t>CLI0168</t>
  </si>
  <si>
    <t>Digital Alfa 168</t>
  </si>
  <si>
    <t>CLI0169</t>
  </si>
  <si>
    <t>Escola Campinas 169</t>
  </si>
  <si>
    <t>CLI0170</t>
  </si>
  <si>
    <t>Logística Horizonte 170</t>
  </si>
  <si>
    <t>CLI0171</t>
  </si>
  <si>
    <t>Banco Alfa 171</t>
  </si>
  <si>
    <t>CLI0172</t>
  </si>
  <si>
    <t>Tech Prime 172</t>
  </si>
  <si>
    <t>CLI0173</t>
  </si>
  <si>
    <t>Indústria Sul 173</t>
  </si>
  <si>
    <t>CLI0174</t>
  </si>
  <si>
    <t>Hospital Paulista 174</t>
  </si>
  <si>
    <t>0</t>
  </si>
  <si>
    <t>CLI0175</t>
  </si>
  <si>
    <t>Comercial Prime 175</t>
  </si>
  <si>
    <t>CLI0176</t>
  </si>
  <si>
    <t>Digital Campinas 176</t>
  </si>
  <si>
    <t>CLI0177</t>
  </si>
  <si>
    <t>Construtora Prime 177</t>
  </si>
  <si>
    <t>CLI0178</t>
  </si>
  <si>
    <t>Banco Nova 178</t>
  </si>
  <si>
    <t>CLI0179</t>
  </si>
  <si>
    <t>Soluções Prime 179</t>
  </si>
  <si>
    <t>CLI0180</t>
  </si>
  <si>
    <t>Escola Nacional 180</t>
  </si>
  <si>
    <t>CLI0181</t>
  </si>
  <si>
    <t>Mercado Mais 181</t>
  </si>
  <si>
    <t>CLI0182</t>
  </si>
  <si>
    <t>Soluções Sul 182</t>
  </si>
  <si>
    <t>CLI0183</t>
  </si>
  <si>
    <t>Mercado Horizonte 183</t>
  </si>
  <si>
    <t>CLI0184</t>
  </si>
  <si>
    <t>Hospital Vida 184</t>
  </si>
  <si>
    <t>CLOUD BACKUP</t>
  </si>
  <si>
    <t>CLI0185</t>
  </si>
  <si>
    <t>Comercial Central 185</t>
  </si>
  <si>
    <t>CLI0186</t>
  </si>
  <si>
    <t>Comercial Futuro 186</t>
  </si>
  <si>
    <t>CLI0187</t>
  </si>
  <si>
    <t>Farma Verde 187</t>
  </si>
  <si>
    <t>CLI0188</t>
  </si>
  <si>
    <t>Tech Alfa 188</t>
  </si>
  <si>
    <t>CLI0189</t>
  </si>
  <si>
    <t>Soluções Vida 189</t>
  </si>
  <si>
    <t>CLI0190</t>
  </si>
  <si>
    <t>Comercial Central 190</t>
  </si>
  <si>
    <t>CLI0191</t>
  </si>
  <si>
    <t>Clínica Verde 191</t>
  </si>
  <si>
    <t>CLI0192</t>
  </si>
  <si>
    <t>Digital Campinas 192</t>
  </si>
  <si>
    <t>CLI0193</t>
  </si>
  <si>
    <t>Transportes Nova 193</t>
  </si>
  <si>
    <t>CLI0194</t>
  </si>
  <si>
    <t>Alimentos Paulista 194</t>
  </si>
  <si>
    <t>CLI0195</t>
  </si>
  <si>
    <t>Banco Prime 195</t>
  </si>
  <si>
    <t>ativo</t>
  </si>
  <si>
    <t>CLI0196</t>
  </si>
  <si>
    <t>Construtora Alfa 196</t>
  </si>
  <si>
    <t>CLI0197</t>
  </si>
  <si>
    <t>Banco Mais 197</t>
  </si>
  <si>
    <t>CLI0198</t>
  </si>
  <si>
    <t>Farma Verde 198</t>
  </si>
  <si>
    <t>CLI0199</t>
  </si>
  <si>
    <t>Digital Brasil 199</t>
  </si>
  <si>
    <t>CLI0200</t>
  </si>
  <si>
    <t>Indústria Nacional 200</t>
  </si>
  <si>
    <t>CLI0201</t>
  </si>
  <si>
    <t>Logística Vida 201</t>
  </si>
  <si>
    <t>CLI0202</t>
  </si>
  <si>
    <t>Construtora Verde 202</t>
  </si>
  <si>
    <t>CLI0203</t>
  </si>
  <si>
    <t>Banco Prime 203</t>
  </si>
  <si>
    <t>CLI0204</t>
  </si>
  <si>
    <t>Alimentos Futuro 204</t>
  </si>
  <si>
    <t>CLI0205</t>
  </si>
  <si>
    <t>Transportes Central 205</t>
  </si>
  <si>
    <t>CLI0206</t>
  </si>
  <si>
    <t>Digital Nova 206</t>
  </si>
  <si>
    <t>CLI0207</t>
  </si>
  <si>
    <t>Alimentos Brasil 207</t>
  </si>
  <si>
    <t>CLI0208</t>
  </si>
  <si>
    <t>Mercado Nacional 208</t>
  </si>
  <si>
    <t>CLI0209</t>
  </si>
  <si>
    <t>Soluções Central 209</t>
  </si>
  <si>
    <t>CLI0210</t>
  </si>
  <si>
    <t>Farma Brasil 210</t>
  </si>
  <si>
    <t>CLI0211</t>
  </si>
  <si>
    <t>Clínica Paulista 211</t>
  </si>
  <si>
    <t>CLI0212</t>
  </si>
  <si>
    <t>Clínica Campinas 212</t>
  </si>
  <si>
    <t>CLI0213</t>
  </si>
  <si>
    <t>Indústria Nova 213</t>
  </si>
  <si>
    <t>CLI0214</t>
  </si>
  <si>
    <t>Escola Horizonte 214</t>
  </si>
  <si>
    <t>CLI0215</t>
  </si>
  <si>
    <t>CLI0216</t>
  </si>
  <si>
    <t>Hospital Campinas 216</t>
  </si>
  <si>
    <t>CLI0217</t>
  </si>
  <si>
    <t>Digital Vida 217</t>
  </si>
  <si>
    <t>CLI0218</t>
  </si>
  <si>
    <t>Digital Horizonte 218</t>
  </si>
  <si>
    <t>INDUSTRIA</t>
  </si>
  <si>
    <t>CLI0219</t>
  </si>
  <si>
    <t>Alimentos Nacional 219</t>
  </si>
  <si>
    <t>CLI0220</t>
  </si>
  <si>
    <t>Digital Vida 220</t>
  </si>
  <si>
    <t>CLI0221</t>
  </si>
  <si>
    <t>Soluções Sul 221</t>
  </si>
  <si>
    <t>Construtora Express 222</t>
  </si>
  <si>
    <t>CLI0223</t>
  </si>
  <si>
    <t>Farma Sul 223</t>
  </si>
  <si>
    <t>CLI0224</t>
  </si>
  <si>
    <t>Comercial Verde 224</t>
  </si>
  <si>
    <t>CLI0225</t>
  </si>
  <si>
    <t>Escola Central 225</t>
  </si>
  <si>
    <t>CLI0226</t>
  </si>
  <si>
    <t>Soluções Sul 226</t>
  </si>
  <si>
    <t>CLI0227</t>
  </si>
  <si>
    <t>Digital Nacional 227</t>
  </si>
  <si>
    <t>data_invalida</t>
  </si>
  <si>
    <t>CLI0228</t>
  </si>
  <si>
    <t>Digital Horizonte 228</t>
  </si>
  <si>
    <t>CLI0229</t>
  </si>
  <si>
    <t>Transportes Paulista 229</t>
  </si>
  <si>
    <t>CLI0230</t>
  </si>
  <si>
    <t>Soluções Paulista 230</t>
  </si>
  <si>
    <t>CLI0231</t>
  </si>
  <si>
    <t>Tech Brasil 231</t>
  </si>
  <si>
    <t>CLI0232</t>
  </si>
  <si>
    <t>Escola Brasil 232</t>
  </si>
  <si>
    <t>CLI0233</t>
  </si>
  <si>
    <t>Construtora Ideal 233</t>
  </si>
  <si>
    <t>CLI0234</t>
  </si>
  <si>
    <t>Hospital Campinas 234</t>
  </si>
  <si>
    <t>CLI0235</t>
  </si>
  <si>
    <t>Clínica Sul 235</t>
  </si>
  <si>
    <t>CLI0236</t>
  </si>
  <si>
    <t>Farma Brasil 236</t>
  </si>
  <si>
    <t>CLI0237</t>
  </si>
  <si>
    <t>Alimentos Alfa 237</t>
  </si>
  <si>
    <t>CLI0238</t>
  </si>
  <si>
    <t>Soluções Brasil 238</t>
  </si>
  <si>
    <t>CLI0239</t>
  </si>
  <si>
    <t>Alimentos Verde 239</t>
  </si>
  <si>
    <t>CLI0240</t>
  </si>
  <si>
    <t>Indústria Express 240</t>
  </si>
  <si>
    <t>CLI0241</t>
  </si>
  <si>
    <t>Clínica Express 241</t>
  </si>
  <si>
    <t>Tech</t>
  </si>
  <si>
    <t>CLI0242</t>
  </si>
  <si>
    <t>Construtora Alfa 242</t>
  </si>
  <si>
    <t>CLI0243</t>
  </si>
  <si>
    <t>Agro Futuro 243</t>
  </si>
  <si>
    <t>CLI0244</t>
  </si>
  <si>
    <t>Banco Campinas 244</t>
  </si>
  <si>
    <t>Digital Ideal 245</t>
  </si>
  <si>
    <t>CLI0246</t>
  </si>
  <si>
    <t>Logística Vida 246</t>
  </si>
  <si>
    <t>CLI0247</t>
  </si>
  <si>
    <t>Transportes Verde 247</t>
  </si>
  <si>
    <t>CLI0248</t>
  </si>
  <si>
    <t>Transportes Mais 248</t>
  </si>
  <si>
    <t>CLI0249</t>
  </si>
  <si>
    <t>Clínica Futuro 249</t>
  </si>
  <si>
    <t>CLI0250</t>
  </si>
  <si>
    <t>Farma Sul 250</t>
  </si>
  <si>
    <t>CLI0251</t>
  </si>
  <si>
    <t>Transportes Vida 251</t>
  </si>
  <si>
    <t>CLI0252</t>
  </si>
  <si>
    <t>Farma Express 252</t>
  </si>
  <si>
    <t>CLI0253</t>
  </si>
  <si>
    <t>Banco Ideal 253</t>
  </si>
  <si>
    <t>CLI0254</t>
  </si>
  <si>
    <t>Construtora Prime 254</t>
  </si>
  <si>
    <t>CLI0255</t>
  </si>
  <si>
    <t>Mercado Paulista 255</t>
  </si>
  <si>
    <t>CLI0256</t>
  </si>
  <si>
    <t>Clínica Central 256</t>
  </si>
  <si>
    <t>CLI0257</t>
  </si>
  <si>
    <t>Transportes Ideal 257</t>
  </si>
  <si>
    <t>CLI0258</t>
  </si>
  <si>
    <t>Comercial Nacional 258</t>
  </si>
  <si>
    <t>SUSPENSO</t>
  </si>
  <si>
    <t>CLI0259</t>
  </si>
  <si>
    <t>Mercado Sul 259</t>
  </si>
  <si>
    <t>CLI0260</t>
  </si>
  <si>
    <t>Tech Central 260</t>
  </si>
  <si>
    <t>CLI0261</t>
  </si>
  <si>
    <t>Escola Paulista 261</t>
  </si>
  <si>
    <t>CLI0262</t>
  </si>
  <si>
    <t>Banco Alfa 262</t>
  </si>
  <si>
    <t>CLI0263</t>
  </si>
  <si>
    <t>Banco Horizonte 263</t>
  </si>
  <si>
    <t>CLI0264</t>
  </si>
  <si>
    <t>Escola Nova 264</t>
  </si>
  <si>
    <t>CLI0265</t>
  </si>
  <si>
    <t>Alimentos Central 265</t>
  </si>
  <si>
    <t>CLI0266</t>
  </si>
  <si>
    <t>Banco Sul 266</t>
  </si>
  <si>
    <t>educação</t>
  </si>
  <si>
    <t>CLI0267</t>
  </si>
  <si>
    <t>Tech Prime 267</t>
  </si>
  <si>
    <t>CLI0268</t>
  </si>
  <si>
    <t>Farma Paulista 268</t>
  </si>
  <si>
    <t>CLI0269</t>
  </si>
  <si>
    <t>Transportes Nova 269</t>
  </si>
  <si>
    <t>AA</t>
  </si>
  <si>
    <t>CLI0270</t>
  </si>
  <si>
    <t>Construtora Sul 270</t>
  </si>
  <si>
    <t>CLI0271</t>
  </si>
  <si>
    <t>Alimentos Mais 271</t>
  </si>
  <si>
    <t>CLI0272</t>
  </si>
  <si>
    <t>Construtora Horizonte 272</t>
  </si>
  <si>
    <t>CLI0273</t>
  </si>
  <si>
    <t>Digital Express 273</t>
  </si>
  <si>
    <t>CLI0274</t>
  </si>
  <si>
    <t>Transportes Prime 274</t>
  </si>
  <si>
    <t>CLI0275</t>
  </si>
  <si>
    <t>Construtora Express 275</t>
  </si>
  <si>
    <t>CLI0276</t>
  </si>
  <si>
    <t>Digital Verde 276</t>
  </si>
  <si>
    <t>CLI0277</t>
  </si>
  <si>
    <t>Comercial Verde 277</t>
  </si>
  <si>
    <t>CLI0278</t>
  </si>
  <si>
    <t>Banco Central 278</t>
  </si>
  <si>
    <t>CLI0279</t>
  </si>
  <si>
    <t>Banco Central 279</t>
  </si>
  <si>
    <t>CLI0280</t>
  </si>
  <si>
    <t>Indústria Nova 280</t>
  </si>
  <si>
    <t>CLI0281</t>
  </si>
  <si>
    <t>Logística Sul 281</t>
  </si>
  <si>
    <t>CLI0282</t>
  </si>
  <si>
    <t>Mercado Verde 282</t>
  </si>
  <si>
    <t>CLI0283</t>
  </si>
  <si>
    <t>Indústria Central 283</t>
  </si>
  <si>
    <t>CLI0284</t>
  </si>
  <si>
    <t>Digital Futuro 284</t>
  </si>
  <si>
    <t>CLI0285</t>
  </si>
  <si>
    <t>Escola Paulista 285</t>
  </si>
  <si>
    <t>CLI0286</t>
  </si>
  <si>
    <t>Digital Alfa 286</t>
  </si>
  <si>
    <t>CLI0287</t>
  </si>
  <si>
    <t>Clínica Nova 287</t>
  </si>
  <si>
    <t>CLI0288</t>
  </si>
  <si>
    <t>Clínica Paulista 288</t>
  </si>
  <si>
    <t>Digital Paulista 289</t>
  </si>
  <si>
    <t>cloud backup</t>
  </si>
  <si>
    <t>CLI0290</t>
  </si>
  <si>
    <t>Hospital Ideal 290</t>
  </si>
  <si>
    <t>ENCERRADO</t>
  </si>
  <si>
    <t>CLI0291</t>
  </si>
  <si>
    <t>Mercado Nacional 291</t>
  </si>
  <si>
    <t>CLI0292</t>
  </si>
  <si>
    <t>Agro Mais 292</t>
  </si>
  <si>
    <t>CLI0293</t>
  </si>
  <si>
    <t>Clínica Mais 293</t>
  </si>
  <si>
    <t>CLI0294</t>
  </si>
  <si>
    <t>Tech Mais 294</t>
  </si>
  <si>
    <t>CLI0295</t>
  </si>
  <si>
    <t>Logística Campinas 295</t>
  </si>
  <si>
    <t>CLI0296</t>
  </si>
  <si>
    <t>Transportes Futuro 296</t>
  </si>
  <si>
    <t>2026-13-40</t>
  </si>
  <si>
    <t>CLI0297</t>
  </si>
  <si>
    <t>Soluções Nova 297</t>
  </si>
  <si>
    <t>CLI0298</t>
  </si>
  <si>
    <t>Construtora Sul 298</t>
  </si>
  <si>
    <t>CLI0299</t>
  </si>
  <si>
    <t>Clínica Campinas 299</t>
  </si>
  <si>
    <t>CLI0300</t>
  </si>
  <si>
    <t>Tech Nacional 300</t>
  </si>
  <si>
    <t>linha_excel</t>
  </si>
  <si>
    <t>codigo_cliente_atual</t>
  </si>
  <si>
    <t>tipo_erro</t>
  </si>
  <si>
    <t>campo</t>
  </si>
  <si>
    <t>descricao</t>
  </si>
  <si>
    <t>CAMPO_OBRIGATORIO</t>
  </si>
  <si>
    <t>Código do cliente vazio.</t>
  </si>
  <si>
    <t>DUPLICIDADE</t>
  </si>
  <si>
    <t>Código duplicado: CLI0011.</t>
  </si>
  <si>
    <t>Código duplicado: CLI0045.</t>
  </si>
  <si>
    <t>Código duplicado: CLI0076.</t>
  </si>
  <si>
    <t>Código duplicado: CLI0121.</t>
  </si>
  <si>
    <t>Código duplicado: CLI0202.</t>
  </si>
  <si>
    <t>DOMINIO_INVALIDO</t>
  </si>
  <si>
    <t>Nível inválido: D. Aceitos: A, B ou C.</t>
  </si>
  <si>
    <t>Nível inválido: E. Aceitos: A, B ou C.</t>
  </si>
  <si>
    <t>Nível inválido: 0. Aceitos: A, B ou C.</t>
  </si>
  <si>
    <t>Nível inválido: AA. Aceitos: A, B ou C.</t>
  </si>
  <si>
    <t>VALOR_NEGATIVO</t>
  </si>
  <si>
    <t>Faturamento mensal não pode ser negativo.</t>
  </si>
  <si>
    <t>Status inválido: INATIVO. Aceitos: ATIVO, PENDENTE, CANCELADO.</t>
  </si>
  <si>
    <t>Status inválido: ABERTO. Aceitos: ATIVO, PENDENTE, CANCELADO.</t>
  </si>
  <si>
    <t>Status inválido: ativo. Aceitos: ATIVO, PENDENTE, CANCELADO.</t>
  </si>
  <si>
    <t>Status inválido: SUSPENSO. Aceitos: ATIVO, PENDENTE, CANCELADO.</t>
  </si>
  <si>
    <t>Valor do serviço não pode ser negativo.</t>
  </si>
  <si>
    <t>Nome do cliente vazio.</t>
  </si>
  <si>
    <t>Consultor vazio.</t>
  </si>
  <si>
    <t>Serviço vazio.</t>
  </si>
  <si>
    <t>DATA_INVALIDA</t>
  </si>
  <si>
    <t>Data inválida: 31/02/2026.</t>
  </si>
  <si>
    <t>Data inválida: data_invalida.</t>
  </si>
  <si>
    <t>Data inválida: 2026-13-40.</t>
  </si>
  <si>
    <t>Nível inválido: D.</t>
  </si>
  <si>
    <t>Status inválido: ENCERRADO.</t>
  </si>
  <si>
    <t>Níveis válidos</t>
  </si>
  <si>
    <t>Status válidos</t>
  </si>
  <si>
    <t>Segmentos padronizados</t>
  </si>
  <si>
    <t>Serviços padronizados</t>
  </si>
  <si>
    <t>RESUMO DO ARQUIVO DE TESTE</t>
  </si>
  <si>
    <t>Total de linhas de dados</t>
  </si>
  <si>
    <t>Total de ocorrências de erro</t>
  </si>
  <si>
    <t>Linhas com erro (aprox.)</t>
  </si>
  <si>
    <t>Registros com código vazio</t>
  </si>
  <si>
    <t>Códigos duplicados (ocorrências)</t>
  </si>
  <si>
    <t>Níveis inválidos</t>
  </si>
  <si>
    <t>Status inválidos</t>
  </si>
  <si>
    <t>PLANILHA DE TESTE — CTI INSIGHTS</t>
  </si>
  <si>
    <t>Objetivo</t>
  </si>
  <si>
    <t>Validar importação, padronização, regras de negócio e persistência do backend Spring Boot.</t>
  </si>
  <si>
    <t>Como utilizar</t>
  </si>
  <si>
    <t>1. Importe somente a aba dados_importacao no sistema.</t>
  </si>
  <si>
    <t>2. O sistema deve validar cada linha antes de salvar no PostgreSQL.</t>
  </si>
  <si>
    <t>3. Compare os erros encontrados pelo sistema com a aba gabarito_erros.</t>
  </si>
  <si>
    <t>4. A aba listas_referencia contém os valores canônicos esperados.</t>
  </si>
  <si>
    <t>5. Variações como IND., Industria, Saude, VAREJO e textos em caixa diferente devem ser padronizadas.</t>
  </si>
  <si>
    <t>Principais validações esperadas</t>
  </si>
  <si>
    <t>- codigo_cliente obrigatório e único.</t>
  </si>
  <si>
    <t>- cliente, consultor e servico não devem ficar vazios.</t>
  </si>
  <si>
    <t>- nivel somente A, B ou C.</t>
  </si>
  <si>
    <t>- faturamento_mensal &gt;= 0.</t>
  </si>
  <si>
    <t>- valor_servico &gt;= 0.</t>
  </si>
  <si>
    <t>- status_contrato: ATIVO, PENDENTE ou CANCELADO.</t>
  </si>
  <si>
    <t>- data_inicio deve ser uma data válida.</t>
  </si>
  <si>
    <t>- segmento e serviço devem ser normalizados antes da persistência.</t>
  </si>
  <si>
    <t>Observação</t>
  </si>
  <si>
    <t>A planilha contém 300 linhas, incluindo registros válidos, variações de padronização e erros propositais.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</si>
</sst>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b/>
      <sz val="16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5">
    <dxf>
      <fill>
        <patternFill patternType="solid">
          <bgColor rgb="FFFFF2CC"/>
        </patternFill>
      </fill>
    </dxf>
    <dxf>
      <font>
        <b/>
      </font>
      <fill>
        <patternFill patternType="solid">
          <bgColor rgb="FFFECACA"/>
        </patternFill>
      </fill>
    </dxf>
    <dxf>
      <font>
        <b/>
      </font>
      <fill>
        <patternFill patternType="solid">
          <bgColor rgb="FFFECACA"/>
        </patternFill>
      </fill>
    </dxf>
    <dxf>
      <font>
        <b/>
      </font>
      <fill>
        <patternFill patternType="solid">
          <bgColor rgb="FFFECACA"/>
        </patternFill>
      </fill>
    </dxf>
    <dxf>
      <font>
        <b/>
      </font>
      <fill>
        <patternFill patternType="solid">
          <b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Importacao" displayName="DadosImportacao" ref="A1:J301" totalsRowShown="0">
  <tableColumns count="10">
    <tableColumn id="1" xr3:uid="{00000000-0010-0000-0000-000001000000}" name="codigo_cliente"/>
    <tableColumn id="2" xr3:uid="{00000000-0010-0000-0000-000002000000}" name="cliente"/>
    <tableColumn id="3" xr3:uid="{00000000-0010-0000-0000-000003000000}" name="consultor"/>
    <tableColumn id="4" xr3:uid="{00000000-0010-0000-0000-000004000000}" name="segmento"/>
    <tableColumn id="5" xr3:uid="{00000000-0010-0000-0000-000005000000}" name="nivel"/>
    <tableColumn id="6" xr3:uid="{00000000-0010-0000-0000-000006000000}" name="faturamento_mensal"/>
    <tableColumn id="7" xr3:uid="{00000000-0010-0000-0000-000007000000}" name="servico"/>
    <tableColumn id="8" xr3:uid="{00000000-0010-0000-0000-000008000000}" name="valor_servico"/>
    <tableColumn id="9" xr3:uid="{00000000-0010-0000-0000-000009000000}" name="status_contrato"/>
    <tableColumn id="10" xr3:uid="{00000000-0010-0000-0000-00000A000000}" name="data_inic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GabaritoErros" displayName="GabaritoErros" ref="A1:E38" totalsRowShown="0">
  <tableColumns count="5">
    <tableColumn id="1" xr3:uid="{00000000-0010-0000-0100-000001000000}" name="linha_excel"/>
    <tableColumn id="2" xr3:uid="{00000000-0010-0000-0100-000002000000}" name="codigo_cliente_atual"/>
    <tableColumn id="3" xr3:uid="{00000000-0010-0000-0100-000003000000}" name="tipo_erro"/>
    <tableColumn id="4" xr3:uid="{00000000-0010-0000-0100-000004000000}" name="campo"/>
    <tableColumn id="5" xr3:uid="{00000000-0010-0000-0100-000005000000}" name="descrica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1"/>
  <sheetViews>
    <sheetView tabSelected="1" zoomScaleNormal="100" zoomScaleSheetLayoutView="100" workbookViewId="0"/>
  </sheetViews>
  <sheetFormatPr defaultRowHeight="15"/>
  <cols>
    <col min="1" max="1" width="15" customWidth="1"/>
    <col min="2" max="2" width="27" customWidth="1"/>
    <col min="3" max="4" width="18" customWidth="1"/>
    <col min="5" max="5" width="9" customWidth="1"/>
    <col min="6" max="6" width="20" customWidth="1"/>
    <col min="7" max="7" width="23" customWidth="1"/>
    <col min="8" max="8" width="17" customWidth="1"/>
    <col min="9" max="9" width="18" customWidth="1"/>
    <col min="10" max="10" width="1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707553.52</v>
      </c>
      <c r="G2" s="4" t="s">
        <v>15</v>
      </c>
      <c r="H2" s="4">
        <v>642.29</v>
      </c>
      <c r="I2" s="3" t="s">
        <v>16</v>
      </c>
      <c r="J2" s="5">
        <v>45896</v>
      </c>
    </row>
    <row r="3" spans="1:10">
      <c r="A3" s="3" t="s">
        <v>17</v>
      </c>
      <c r="B3" s="3" t="s">
        <v>18</v>
      </c>
      <c r="C3" s="3" t="s">
        <v>12</v>
      </c>
      <c r="D3" s="3" t="s">
        <v>19</v>
      </c>
      <c r="E3" s="3" t="s">
        <v>20</v>
      </c>
      <c r="F3" s="4">
        <v>232805.37</v>
      </c>
      <c r="G3" s="4" t="s">
        <v>21</v>
      </c>
      <c r="H3" s="4">
        <v>5347.05</v>
      </c>
      <c r="I3" s="3" t="s">
        <v>16</v>
      </c>
      <c r="J3" s="5">
        <v>45821</v>
      </c>
    </row>
    <row r="4" spans="1:10">
      <c r="A4" s="3" t="s">
        <v>22</v>
      </c>
      <c r="B4" s="3" t="s">
        <v>23</v>
      </c>
      <c r="C4" s="3" t="s">
        <v>24</v>
      </c>
      <c r="D4" s="3" t="s">
        <v>25</v>
      </c>
      <c r="E4" s="3" t="s">
        <v>14</v>
      </c>
      <c r="F4" s="4">
        <v>115326.18</v>
      </c>
      <c r="G4" s="4" t="s">
        <v>15</v>
      </c>
      <c r="H4" s="4">
        <v>2530.9299999999998</v>
      </c>
      <c r="I4" s="3" t="s">
        <v>16</v>
      </c>
      <c r="J4" s="5">
        <v>45702</v>
      </c>
    </row>
    <row r="5" spans="1:10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4">
        <v>599038.17000000004</v>
      </c>
      <c r="G5" s="4" t="s">
        <v>31</v>
      </c>
      <c r="H5" s="4">
        <v>3942.98</v>
      </c>
      <c r="I5" s="3" t="s">
        <v>16</v>
      </c>
      <c r="J5" s="5">
        <v>45704</v>
      </c>
    </row>
    <row r="6" spans="1:10">
      <c r="A6" s="3" t="s">
        <v>32</v>
      </c>
      <c r="B6" s="3" t="s">
        <v>33</v>
      </c>
      <c r="C6" s="3" t="s">
        <v>34</v>
      </c>
      <c r="D6" s="3" t="s">
        <v>35</v>
      </c>
      <c r="E6" s="3" t="s">
        <v>20</v>
      </c>
      <c r="F6" s="4">
        <v>285735.71000000002</v>
      </c>
      <c r="G6" s="4" t="s">
        <v>31</v>
      </c>
      <c r="H6" s="4">
        <v>1434.06</v>
      </c>
      <c r="I6" s="3" t="s">
        <v>16</v>
      </c>
      <c r="J6" s="5">
        <v>45931</v>
      </c>
    </row>
    <row r="7" spans="1:10">
      <c r="A7" s="3" t="s">
        <v>36</v>
      </c>
      <c r="B7" s="3" t="s">
        <v>37</v>
      </c>
      <c r="C7" s="3" t="s">
        <v>38</v>
      </c>
      <c r="D7" s="3" t="s">
        <v>39</v>
      </c>
      <c r="E7" s="3" t="s">
        <v>20</v>
      </c>
      <c r="F7" s="4">
        <v>940361.48</v>
      </c>
      <c r="G7" s="4" t="s">
        <v>40</v>
      </c>
      <c r="H7" s="4">
        <v>5549.25</v>
      </c>
      <c r="I7" s="3" t="s">
        <v>41</v>
      </c>
      <c r="J7" s="5">
        <v>45892</v>
      </c>
    </row>
    <row r="8" spans="1:10">
      <c r="A8" s="3" t="s">
        <v>42</v>
      </c>
      <c r="B8" s="3" t="s">
        <v>43</v>
      </c>
      <c r="C8" s="3" t="s">
        <v>28</v>
      </c>
      <c r="D8" s="3" t="s">
        <v>44</v>
      </c>
      <c r="E8" s="3" t="s">
        <v>30</v>
      </c>
      <c r="F8" s="4">
        <v>319503.65000000002</v>
      </c>
      <c r="G8" s="4" t="s">
        <v>45</v>
      </c>
      <c r="H8" s="4">
        <v>2843.57</v>
      </c>
      <c r="I8" s="3" t="s">
        <v>46</v>
      </c>
      <c r="J8" s="5">
        <v>46127</v>
      </c>
    </row>
    <row r="9" spans="1:10">
      <c r="A9" s="3" t="s">
        <v>47</v>
      </c>
      <c r="B9" s="3" t="s">
        <v>48</v>
      </c>
      <c r="C9" s="3" t="s">
        <v>49</v>
      </c>
      <c r="D9" s="3" t="s">
        <v>35</v>
      </c>
      <c r="E9" s="3" t="s">
        <v>30</v>
      </c>
      <c r="F9" s="4">
        <v>271722.28000000003</v>
      </c>
      <c r="G9" s="4" t="s">
        <v>50</v>
      </c>
      <c r="H9" s="4">
        <v>5881.83</v>
      </c>
      <c r="I9" s="3" t="s">
        <v>16</v>
      </c>
      <c r="J9" s="5">
        <v>45882</v>
      </c>
    </row>
    <row r="10" spans="1:10">
      <c r="A10" s="3" t="s">
        <v>51</v>
      </c>
      <c r="B10" s="3" t="s">
        <v>52</v>
      </c>
      <c r="C10" s="3" t="s">
        <v>34</v>
      </c>
      <c r="D10" s="3" t="s">
        <v>53</v>
      </c>
      <c r="E10" s="3" t="s">
        <v>14</v>
      </c>
      <c r="F10" s="4">
        <v>607250.36</v>
      </c>
      <c r="G10" s="4" t="s">
        <v>50</v>
      </c>
      <c r="H10" s="4">
        <v>4058.27</v>
      </c>
      <c r="I10" s="3" t="s">
        <v>16</v>
      </c>
      <c r="J10" s="5">
        <v>46137</v>
      </c>
    </row>
    <row r="11" spans="1:10">
      <c r="A11" s="3" t="s">
        <v>54</v>
      </c>
      <c r="B11" s="3" t="s">
        <v>55</v>
      </c>
      <c r="C11" s="3" t="s">
        <v>12</v>
      </c>
      <c r="D11" s="3" t="s">
        <v>29</v>
      </c>
      <c r="E11" s="3" t="s">
        <v>30</v>
      </c>
      <c r="F11" s="4">
        <v>720807.58</v>
      </c>
      <c r="G11" s="4" t="s">
        <v>31</v>
      </c>
      <c r="H11" s="4">
        <v>1124.8900000000001</v>
      </c>
      <c r="I11" s="3" t="s">
        <v>16</v>
      </c>
      <c r="J11" s="5">
        <v>46122</v>
      </c>
    </row>
    <row r="12" spans="1:10">
      <c r="A12" s="3" t="s">
        <v>56</v>
      </c>
      <c r="B12" s="3" t="s">
        <v>57</v>
      </c>
      <c r="C12" s="3" t="s">
        <v>38</v>
      </c>
      <c r="D12" s="3" t="s">
        <v>58</v>
      </c>
      <c r="E12" s="3" t="s">
        <v>14</v>
      </c>
      <c r="F12" s="4">
        <v>830877.08</v>
      </c>
      <c r="G12" s="4" t="s">
        <v>21</v>
      </c>
      <c r="H12" s="4">
        <v>5542.1</v>
      </c>
      <c r="I12" s="3" t="s">
        <v>16</v>
      </c>
      <c r="J12" s="5">
        <v>45861</v>
      </c>
    </row>
    <row r="13" spans="1:10">
      <c r="A13" s="3" t="s">
        <v>59</v>
      </c>
      <c r="B13" s="3" t="s">
        <v>60</v>
      </c>
      <c r="C13" s="3" t="s">
        <v>49</v>
      </c>
      <c r="D13" s="3" t="s">
        <v>19</v>
      </c>
      <c r="E13" s="3" t="s">
        <v>30</v>
      </c>
      <c r="F13" s="4">
        <v>875014.01</v>
      </c>
      <c r="G13" s="4" t="s">
        <v>31</v>
      </c>
      <c r="H13" s="4">
        <v>3406.06</v>
      </c>
      <c r="I13" s="3" t="s">
        <v>16</v>
      </c>
      <c r="J13" s="5">
        <v>46029</v>
      </c>
    </row>
    <row r="14" spans="1:10">
      <c r="A14" s="3" t="s">
        <v>61</v>
      </c>
      <c r="B14" s="3" t="s">
        <v>62</v>
      </c>
      <c r="C14" s="3" t="s">
        <v>34</v>
      </c>
      <c r="D14" s="3" t="s">
        <v>35</v>
      </c>
      <c r="E14" s="3" t="s">
        <v>14</v>
      </c>
      <c r="F14" s="4">
        <v>108801.18</v>
      </c>
      <c r="G14" s="4" t="s">
        <v>45</v>
      </c>
      <c r="H14" s="4">
        <v>5386.94</v>
      </c>
      <c r="I14" s="3" t="s">
        <v>46</v>
      </c>
      <c r="J14" s="5">
        <v>46203</v>
      </c>
    </row>
    <row r="15" spans="1:10">
      <c r="A15" s="3" t="s">
        <v>63</v>
      </c>
      <c r="B15" s="3" t="s">
        <v>64</v>
      </c>
      <c r="C15" s="3" t="s">
        <v>12</v>
      </c>
      <c r="D15" s="3" t="s">
        <v>65</v>
      </c>
      <c r="E15" s="3" t="s">
        <v>30</v>
      </c>
      <c r="F15" s="4">
        <v>181916.79999999999</v>
      </c>
      <c r="G15" s="4" t="s">
        <v>50</v>
      </c>
      <c r="H15" s="4">
        <v>6284.4</v>
      </c>
      <c r="I15" s="3" t="s">
        <v>46</v>
      </c>
      <c r="J15" s="5">
        <v>45863</v>
      </c>
    </row>
    <row r="16" spans="1:10">
      <c r="A16" s="3" t="s">
        <v>66</v>
      </c>
      <c r="B16" s="3" t="s">
        <v>67</v>
      </c>
      <c r="C16" s="3" t="s">
        <v>12</v>
      </c>
      <c r="D16" s="3" t="s">
        <v>68</v>
      </c>
      <c r="E16" s="3" t="s">
        <v>30</v>
      </c>
      <c r="F16" s="4">
        <v>445367.25</v>
      </c>
      <c r="G16" s="4" t="s">
        <v>40</v>
      </c>
      <c r="H16" s="4">
        <v>2495.42</v>
      </c>
      <c r="I16" s="3" t="s">
        <v>16</v>
      </c>
      <c r="J16" s="5">
        <v>45893</v>
      </c>
    </row>
    <row r="17" spans="1:10">
      <c r="A17" s="3" t="s">
        <v>69</v>
      </c>
      <c r="B17" s="3" t="s">
        <v>70</v>
      </c>
      <c r="C17" s="3" t="s">
        <v>34</v>
      </c>
      <c r="D17" s="3" t="s">
        <v>53</v>
      </c>
      <c r="E17" s="3" t="s">
        <v>14</v>
      </c>
      <c r="F17" s="4">
        <v>820864.57</v>
      </c>
      <c r="G17" s="4" t="s">
        <v>15</v>
      </c>
      <c r="H17" s="4">
        <v>2134.79</v>
      </c>
      <c r="I17" s="3" t="s">
        <v>16</v>
      </c>
      <c r="J17" s="5">
        <v>46210</v>
      </c>
    </row>
    <row r="18" spans="1:10">
      <c r="A18" s="3" t="s">
        <v>71</v>
      </c>
      <c r="B18" s="3" t="s">
        <v>72</v>
      </c>
      <c r="C18" s="3" t="s">
        <v>49</v>
      </c>
      <c r="D18" s="3" t="s">
        <v>65</v>
      </c>
      <c r="E18" s="3" t="s">
        <v>20</v>
      </c>
      <c r="F18" s="4">
        <v>205177.12</v>
      </c>
      <c r="G18" s="4" t="s">
        <v>15</v>
      </c>
      <c r="H18" s="4">
        <v>2593.5</v>
      </c>
      <c r="I18" s="3" t="s">
        <v>16</v>
      </c>
      <c r="J18" s="5">
        <v>45713</v>
      </c>
    </row>
    <row r="19" spans="1:10">
      <c r="A19" s="3"/>
      <c r="B19" s="3" t="s">
        <v>73</v>
      </c>
      <c r="C19" s="3" t="s">
        <v>28</v>
      </c>
      <c r="D19" s="3" t="s">
        <v>68</v>
      </c>
      <c r="E19" s="3" t="s">
        <v>14</v>
      </c>
      <c r="F19" s="4">
        <v>258763.83</v>
      </c>
      <c r="G19" s="4" t="s">
        <v>40</v>
      </c>
      <c r="H19" s="4">
        <v>1298.0999999999999</v>
      </c>
      <c r="I19" s="3" t="s">
        <v>16</v>
      </c>
      <c r="J19" s="5">
        <v>46131</v>
      </c>
    </row>
    <row r="20" spans="1:10">
      <c r="A20" s="3" t="s">
        <v>74</v>
      </c>
      <c r="B20" s="3" t="s">
        <v>75</v>
      </c>
      <c r="C20" s="3" t="s">
        <v>28</v>
      </c>
      <c r="D20" s="3" t="s">
        <v>19</v>
      </c>
      <c r="E20" s="3" t="s">
        <v>14</v>
      </c>
      <c r="F20" s="4">
        <v>76541.259999999995</v>
      </c>
      <c r="G20" s="4" t="s">
        <v>76</v>
      </c>
      <c r="H20" s="4">
        <v>6054.52</v>
      </c>
      <c r="I20" s="3" t="s">
        <v>41</v>
      </c>
      <c r="J20" s="5">
        <v>45828</v>
      </c>
    </row>
    <row r="21" spans="1:10">
      <c r="A21" s="3" t="s">
        <v>77</v>
      </c>
      <c r="B21" s="3" t="s">
        <v>78</v>
      </c>
      <c r="C21" s="3" t="s">
        <v>28</v>
      </c>
      <c r="D21" s="3" t="s">
        <v>35</v>
      </c>
      <c r="E21" s="3" t="s">
        <v>14</v>
      </c>
      <c r="F21" s="4">
        <v>181466.15</v>
      </c>
      <c r="G21" s="4" t="s">
        <v>76</v>
      </c>
      <c r="H21" s="4">
        <v>2054.48</v>
      </c>
      <c r="I21" s="3" t="s">
        <v>41</v>
      </c>
      <c r="J21" s="5">
        <v>46123</v>
      </c>
    </row>
    <row r="22" spans="1:10">
      <c r="A22" s="3" t="s">
        <v>79</v>
      </c>
      <c r="B22" s="3" t="s">
        <v>80</v>
      </c>
      <c r="C22" s="3" t="s">
        <v>12</v>
      </c>
      <c r="D22" s="3" t="s">
        <v>19</v>
      </c>
      <c r="E22" s="3" t="s">
        <v>30</v>
      </c>
      <c r="F22" s="4">
        <v>690935.61</v>
      </c>
      <c r="G22" s="4" t="s">
        <v>81</v>
      </c>
      <c r="H22" s="4">
        <v>1767.09</v>
      </c>
      <c r="I22" s="3" t="s">
        <v>16</v>
      </c>
      <c r="J22" s="5">
        <v>46213</v>
      </c>
    </row>
    <row r="23" spans="1:10">
      <c r="A23" s="3" t="s">
        <v>82</v>
      </c>
      <c r="B23" s="3" t="s">
        <v>83</v>
      </c>
      <c r="C23" s="3" t="s">
        <v>34</v>
      </c>
      <c r="D23" s="3" t="s">
        <v>53</v>
      </c>
      <c r="E23" s="3" t="s">
        <v>30</v>
      </c>
      <c r="F23" s="4">
        <v>875836.16</v>
      </c>
      <c r="G23" s="4" t="s">
        <v>84</v>
      </c>
      <c r="H23" s="4">
        <v>5600.62</v>
      </c>
      <c r="I23" s="3" t="s">
        <v>16</v>
      </c>
      <c r="J23" s="5">
        <v>45727</v>
      </c>
    </row>
    <row r="24" spans="1:10">
      <c r="A24" s="3" t="s">
        <v>85</v>
      </c>
      <c r="B24" s="3" t="s">
        <v>86</v>
      </c>
      <c r="C24" s="3" t="s">
        <v>34</v>
      </c>
      <c r="D24" s="3" t="s">
        <v>87</v>
      </c>
      <c r="E24" s="3" t="s">
        <v>14</v>
      </c>
      <c r="F24" s="4">
        <v>562605.53</v>
      </c>
      <c r="G24" s="4" t="s">
        <v>76</v>
      </c>
      <c r="H24" s="4">
        <v>2986.31</v>
      </c>
      <c r="I24" s="3" t="s">
        <v>16</v>
      </c>
      <c r="J24" s="5">
        <v>46193</v>
      </c>
    </row>
    <row r="25" spans="1:10">
      <c r="A25" s="3" t="s">
        <v>88</v>
      </c>
      <c r="B25" s="3" t="s">
        <v>89</v>
      </c>
      <c r="C25" s="3" t="s">
        <v>49</v>
      </c>
      <c r="D25" s="3" t="s">
        <v>68</v>
      </c>
      <c r="E25" s="3" t="s">
        <v>20</v>
      </c>
      <c r="F25" s="4">
        <v>150408.01999999999</v>
      </c>
      <c r="G25" s="4" t="s">
        <v>21</v>
      </c>
      <c r="H25" s="4">
        <v>3216.21</v>
      </c>
      <c r="I25" s="3" t="s">
        <v>46</v>
      </c>
      <c r="J25" s="5">
        <v>45732</v>
      </c>
    </row>
    <row r="26" spans="1:10">
      <c r="A26" s="3" t="s">
        <v>90</v>
      </c>
      <c r="B26" s="3" t="s">
        <v>91</v>
      </c>
      <c r="C26" s="3" t="s">
        <v>38</v>
      </c>
      <c r="D26" s="3" t="s">
        <v>87</v>
      </c>
      <c r="E26" s="3" t="s">
        <v>14</v>
      </c>
      <c r="F26" s="4">
        <v>97399.86</v>
      </c>
      <c r="G26" s="4" t="s">
        <v>40</v>
      </c>
      <c r="H26" s="4">
        <v>1251.3599999999999</v>
      </c>
      <c r="I26" s="3" t="s">
        <v>16</v>
      </c>
      <c r="J26" s="5">
        <v>45728</v>
      </c>
    </row>
    <row r="27" spans="1:10">
      <c r="A27" s="3" t="s">
        <v>92</v>
      </c>
      <c r="B27" s="3" t="s">
        <v>93</v>
      </c>
      <c r="C27" s="3" t="s">
        <v>24</v>
      </c>
      <c r="D27" s="3" t="s">
        <v>58</v>
      </c>
      <c r="E27" s="3" t="s">
        <v>30</v>
      </c>
      <c r="F27" s="4">
        <v>677256.73</v>
      </c>
      <c r="G27" s="4" t="s">
        <v>76</v>
      </c>
      <c r="H27" s="4">
        <v>3805.34</v>
      </c>
      <c r="I27" s="3" t="s">
        <v>46</v>
      </c>
      <c r="J27" s="5">
        <v>45764</v>
      </c>
    </row>
    <row r="28" spans="1:10">
      <c r="A28" s="3" t="s">
        <v>94</v>
      </c>
      <c r="B28" s="3" t="s">
        <v>95</v>
      </c>
      <c r="C28" s="3" t="s">
        <v>34</v>
      </c>
      <c r="D28" s="3" t="s">
        <v>29</v>
      </c>
      <c r="E28" s="3" t="s">
        <v>14</v>
      </c>
      <c r="F28" s="4">
        <v>280560.36</v>
      </c>
      <c r="G28" s="4" t="s">
        <v>40</v>
      </c>
      <c r="H28" s="4">
        <v>1681.76</v>
      </c>
      <c r="I28" s="3" t="s">
        <v>16</v>
      </c>
      <c r="J28" s="5">
        <v>45928</v>
      </c>
    </row>
    <row r="29" spans="1:10">
      <c r="A29" s="3" t="s">
        <v>96</v>
      </c>
      <c r="B29" s="3" t="s">
        <v>97</v>
      </c>
      <c r="C29" s="3" t="s">
        <v>34</v>
      </c>
      <c r="D29" s="3" t="s">
        <v>29</v>
      </c>
      <c r="E29" s="3" t="s">
        <v>20</v>
      </c>
      <c r="F29" s="4">
        <v>70559.820000000007</v>
      </c>
      <c r="G29" s="4" t="s">
        <v>31</v>
      </c>
      <c r="H29" s="4">
        <v>5115.2700000000004</v>
      </c>
      <c r="I29" s="3" t="s">
        <v>16</v>
      </c>
      <c r="J29" s="5">
        <v>45926</v>
      </c>
    </row>
    <row r="30" spans="1:10">
      <c r="A30" s="3" t="s">
        <v>98</v>
      </c>
      <c r="B30" s="3" t="s">
        <v>99</v>
      </c>
      <c r="C30" s="3" t="s">
        <v>38</v>
      </c>
      <c r="D30" s="3" t="s">
        <v>100</v>
      </c>
      <c r="E30" s="3" t="s">
        <v>14</v>
      </c>
      <c r="F30" s="4">
        <v>99224.35</v>
      </c>
      <c r="G30" s="4" t="s">
        <v>81</v>
      </c>
      <c r="H30" s="4">
        <v>5499.3</v>
      </c>
      <c r="I30" s="3" t="s">
        <v>16</v>
      </c>
      <c r="J30" s="5">
        <v>45809</v>
      </c>
    </row>
    <row r="31" spans="1:10">
      <c r="A31" s="3" t="s">
        <v>101</v>
      </c>
      <c r="B31" s="3" t="s">
        <v>102</v>
      </c>
      <c r="C31" s="3" t="s">
        <v>34</v>
      </c>
      <c r="D31" s="3" t="s">
        <v>13</v>
      </c>
      <c r="E31" s="3" t="s">
        <v>14</v>
      </c>
      <c r="F31" s="4">
        <v>857010.67</v>
      </c>
      <c r="G31" s="4" t="s">
        <v>40</v>
      </c>
      <c r="H31" s="4">
        <v>4484.95</v>
      </c>
      <c r="I31" s="3" t="s">
        <v>16</v>
      </c>
      <c r="J31" s="5">
        <v>46231</v>
      </c>
    </row>
    <row r="32" spans="1:10">
      <c r="A32" s="3" t="s">
        <v>103</v>
      </c>
      <c r="B32" s="3" t="s">
        <v>104</v>
      </c>
      <c r="C32" s="3" t="s">
        <v>49</v>
      </c>
      <c r="D32" s="3" t="s">
        <v>58</v>
      </c>
      <c r="E32" s="3" t="s">
        <v>14</v>
      </c>
      <c r="F32" s="4">
        <v>840902.91</v>
      </c>
      <c r="G32" s="4" t="s">
        <v>105</v>
      </c>
      <c r="H32" s="4">
        <v>5183.4399999999996</v>
      </c>
      <c r="I32" s="3" t="s">
        <v>16</v>
      </c>
      <c r="J32" s="5">
        <v>45912</v>
      </c>
    </row>
    <row r="33" spans="1:10">
      <c r="A33" s="3" t="s">
        <v>106</v>
      </c>
      <c r="B33" s="3" t="s">
        <v>107</v>
      </c>
      <c r="C33" s="3" t="s">
        <v>12</v>
      </c>
      <c r="D33" s="3" t="s">
        <v>29</v>
      </c>
      <c r="E33" s="3" t="s">
        <v>14</v>
      </c>
      <c r="F33" s="4">
        <v>819905.79</v>
      </c>
      <c r="G33" s="4" t="s">
        <v>40</v>
      </c>
      <c r="H33" s="4">
        <v>6006.63</v>
      </c>
      <c r="I33" s="3" t="s">
        <v>16</v>
      </c>
      <c r="J33" s="5">
        <v>45891</v>
      </c>
    </row>
    <row r="34" spans="1:10">
      <c r="A34" s="3" t="s">
        <v>108</v>
      </c>
      <c r="B34" s="3" t="s">
        <v>109</v>
      </c>
      <c r="C34" s="3" t="s">
        <v>12</v>
      </c>
      <c r="D34" s="3" t="s">
        <v>35</v>
      </c>
      <c r="E34" s="3" t="s">
        <v>20</v>
      </c>
      <c r="F34" s="4">
        <v>825204.71</v>
      </c>
      <c r="G34" s="4" t="s">
        <v>21</v>
      </c>
      <c r="H34" s="4">
        <v>2574.4299999999998</v>
      </c>
      <c r="I34" s="3" t="s">
        <v>16</v>
      </c>
      <c r="J34" s="5">
        <v>46207</v>
      </c>
    </row>
    <row r="35" spans="1:10">
      <c r="A35" s="3" t="s">
        <v>110</v>
      </c>
      <c r="B35" s="3" t="s">
        <v>111</v>
      </c>
      <c r="C35" s="3" t="s">
        <v>34</v>
      </c>
      <c r="D35" s="3" t="s">
        <v>112</v>
      </c>
      <c r="E35" s="3" t="s">
        <v>14</v>
      </c>
      <c r="F35" s="4">
        <v>129730.34</v>
      </c>
      <c r="G35" s="4" t="s">
        <v>50</v>
      </c>
      <c r="H35" s="4">
        <v>2541.41</v>
      </c>
      <c r="I35" s="3" t="s">
        <v>41</v>
      </c>
      <c r="J35" s="5">
        <v>46104</v>
      </c>
    </row>
    <row r="36" spans="1:10">
      <c r="A36" s="3" t="s">
        <v>113</v>
      </c>
      <c r="B36" s="3" t="s">
        <v>114</v>
      </c>
      <c r="C36" s="3" t="s">
        <v>38</v>
      </c>
      <c r="D36" s="3" t="s">
        <v>35</v>
      </c>
      <c r="E36" s="3" t="s">
        <v>30</v>
      </c>
      <c r="F36" s="4">
        <v>431172.91</v>
      </c>
      <c r="G36" s="4" t="s">
        <v>40</v>
      </c>
      <c r="H36" s="4">
        <v>873.34</v>
      </c>
      <c r="I36" s="3" t="s">
        <v>16</v>
      </c>
      <c r="J36" s="5">
        <v>45996</v>
      </c>
    </row>
    <row r="37" spans="1:10">
      <c r="A37" s="3" t="s">
        <v>56</v>
      </c>
      <c r="B37" s="3" t="s">
        <v>115</v>
      </c>
      <c r="C37" s="3" t="s">
        <v>12</v>
      </c>
      <c r="D37" s="3" t="s">
        <v>13</v>
      </c>
      <c r="E37" s="3" t="s">
        <v>30</v>
      </c>
      <c r="F37" s="4">
        <v>405721.48</v>
      </c>
      <c r="G37" s="4" t="s">
        <v>50</v>
      </c>
      <c r="H37" s="4">
        <v>4668.1099999999997</v>
      </c>
      <c r="I37" s="3" t="s">
        <v>16</v>
      </c>
      <c r="J37" s="5">
        <v>45854</v>
      </c>
    </row>
    <row r="38" spans="1:10">
      <c r="A38" s="3" t="s">
        <v>116</v>
      </c>
      <c r="B38" s="3" t="s">
        <v>117</v>
      </c>
      <c r="C38" s="3" t="s">
        <v>12</v>
      </c>
      <c r="D38" s="3" t="s">
        <v>58</v>
      </c>
      <c r="E38" s="3" t="s">
        <v>20</v>
      </c>
      <c r="F38" s="4">
        <v>403589.16</v>
      </c>
      <c r="G38" s="4" t="s">
        <v>76</v>
      </c>
      <c r="H38" s="4">
        <v>1721.61</v>
      </c>
      <c r="I38" s="3" t="s">
        <v>41</v>
      </c>
      <c r="J38" s="5">
        <v>45987</v>
      </c>
    </row>
    <row r="39" spans="1:10">
      <c r="A39" s="3" t="s">
        <v>118</v>
      </c>
      <c r="B39" s="3" t="s">
        <v>119</v>
      </c>
      <c r="C39" s="3" t="s">
        <v>28</v>
      </c>
      <c r="D39" s="3" t="s">
        <v>35</v>
      </c>
      <c r="E39" s="3" t="s">
        <v>30</v>
      </c>
      <c r="F39" s="4">
        <v>186116.08</v>
      </c>
      <c r="G39" s="4" t="s">
        <v>15</v>
      </c>
      <c r="H39" s="4">
        <v>4466.32</v>
      </c>
      <c r="I39" s="3" t="s">
        <v>16</v>
      </c>
      <c r="J39" s="5">
        <v>45753</v>
      </c>
    </row>
    <row r="40" spans="1:10">
      <c r="A40" s="3" t="s">
        <v>120</v>
      </c>
      <c r="B40" s="3" t="s">
        <v>121</v>
      </c>
      <c r="C40" s="3" t="s">
        <v>49</v>
      </c>
      <c r="D40" s="3" t="s">
        <v>122</v>
      </c>
      <c r="E40" s="3" t="s">
        <v>14</v>
      </c>
      <c r="F40" s="4">
        <v>935221.14</v>
      </c>
      <c r="G40" s="4" t="s">
        <v>15</v>
      </c>
      <c r="H40" s="4">
        <v>5811.13</v>
      </c>
      <c r="I40" s="3" t="s">
        <v>16</v>
      </c>
      <c r="J40" s="5">
        <v>46051</v>
      </c>
    </row>
    <row r="41" spans="1:10">
      <c r="A41" s="3" t="s">
        <v>123</v>
      </c>
      <c r="B41" s="3" t="s">
        <v>124</v>
      </c>
      <c r="C41" s="3" t="s">
        <v>49</v>
      </c>
      <c r="D41" s="3" t="s">
        <v>58</v>
      </c>
      <c r="E41" s="3" t="s">
        <v>14</v>
      </c>
      <c r="F41" s="4">
        <v>851247.04</v>
      </c>
      <c r="G41" s="4" t="s">
        <v>15</v>
      </c>
      <c r="H41" s="4">
        <v>1773.99</v>
      </c>
      <c r="I41" s="3" t="s">
        <v>41</v>
      </c>
      <c r="J41" s="5">
        <v>46188</v>
      </c>
    </row>
    <row r="42" spans="1:10">
      <c r="A42" s="3" t="s">
        <v>125</v>
      </c>
      <c r="B42" s="3" t="s">
        <v>126</v>
      </c>
      <c r="C42" s="3" t="s">
        <v>38</v>
      </c>
      <c r="D42" s="3" t="s">
        <v>35</v>
      </c>
      <c r="E42" s="3" t="s">
        <v>14</v>
      </c>
      <c r="F42" s="4">
        <v>449944.88</v>
      </c>
      <c r="G42" s="4" t="s">
        <v>45</v>
      </c>
      <c r="H42" s="4">
        <v>4488.8500000000004</v>
      </c>
      <c r="I42" s="3" t="s">
        <v>46</v>
      </c>
      <c r="J42" s="5">
        <v>45982</v>
      </c>
    </row>
    <row r="43" spans="1:10">
      <c r="A43" s="3" t="s">
        <v>127</v>
      </c>
      <c r="B43" s="3" t="s">
        <v>128</v>
      </c>
      <c r="C43" s="3" t="s">
        <v>38</v>
      </c>
      <c r="D43" s="3" t="s">
        <v>65</v>
      </c>
      <c r="E43" s="3" t="s">
        <v>14</v>
      </c>
      <c r="F43" s="4">
        <v>714163.01</v>
      </c>
      <c r="G43" s="4" t="s">
        <v>45</v>
      </c>
      <c r="H43" s="4">
        <v>3172.92</v>
      </c>
      <c r="I43" s="3" t="s">
        <v>41</v>
      </c>
      <c r="J43" s="5">
        <v>45941</v>
      </c>
    </row>
    <row r="44" spans="1:10">
      <c r="A44" s="3" t="s">
        <v>129</v>
      </c>
      <c r="B44" s="3" t="s">
        <v>130</v>
      </c>
      <c r="C44" s="3" t="s">
        <v>24</v>
      </c>
      <c r="D44" s="3" t="s">
        <v>65</v>
      </c>
      <c r="E44" s="3" t="s">
        <v>14</v>
      </c>
      <c r="F44" s="4">
        <v>686461.27</v>
      </c>
      <c r="G44" s="4" t="s">
        <v>40</v>
      </c>
      <c r="H44" s="4">
        <v>2384.2399999999998</v>
      </c>
      <c r="I44" s="3" t="s">
        <v>16</v>
      </c>
      <c r="J44" s="5">
        <v>45799</v>
      </c>
    </row>
    <row r="45" spans="1:10">
      <c r="A45" s="3" t="s">
        <v>131</v>
      </c>
      <c r="B45" s="3" t="s">
        <v>132</v>
      </c>
      <c r="C45" s="3" t="s">
        <v>28</v>
      </c>
      <c r="D45" s="3" t="s">
        <v>58</v>
      </c>
      <c r="E45" s="3" t="s">
        <v>14</v>
      </c>
      <c r="F45" s="4">
        <v>411678.46</v>
      </c>
      <c r="G45" s="4" t="s">
        <v>31</v>
      </c>
      <c r="H45" s="4">
        <v>3732.8</v>
      </c>
      <c r="I45" s="3" t="s">
        <v>16</v>
      </c>
      <c r="J45" s="5">
        <v>45869</v>
      </c>
    </row>
    <row r="46" spans="1:10">
      <c r="A46" s="3" t="s">
        <v>133</v>
      </c>
      <c r="B46" s="3" t="s">
        <v>134</v>
      </c>
      <c r="C46" s="3" t="s">
        <v>38</v>
      </c>
      <c r="D46" s="3" t="s">
        <v>53</v>
      </c>
      <c r="E46" s="3" t="s">
        <v>30</v>
      </c>
      <c r="F46" s="4">
        <v>379950.55</v>
      </c>
      <c r="G46" s="4" t="s">
        <v>76</v>
      </c>
      <c r="H46" s="4">
        <v>2256.61</v>
      </c>
      <c r="I46" s="3" t="s">
        <v>16</v>
      </c>
      <c r="J46" s="5">
        <v>46087</v>
      </c>
    </row>
    <row r="47" spans="1:10">
      <c r="A47" s="3" t="s">
        <v>135</v>
      </c>
      <c r="B47" s="3" t="s">
        <v>136</v>
      </c>
      <c r="C47" s="3" t="s">
        <v>49</v>
      </c>
      <c r="D47" s="3" t="s">
        <v>13</v>
      </c>
      <c r="E47" s="3" t="s">
        <v>14</v>
      </c>
      <c r="F47" s="4">
        <v>387748.63</v>
      </c>
      <c r="G47" s="4" t="s">
        <v>50</v>
      </c>
      <c r="H47" s="4">
        <v>4831.3</v>
      </c>
      <c r="I47" s="3" t="s">
        <v>41</v>
      </c>
      <c r="J47" s="5">
        <v>45788</v>
      </c>
    </row>
    <row r="48" spans="1:10">
      <c r="A48" s="3" t="s">
        <v>137</v>
      </c>
      <c r="B48" s="3" t="s">
        <v>138</v>
      </c>
      <c r="C48" s="3" t="s">
        <v>38</v>
      </c>
      <c r="D48" s="3" t="s">
        <v>87</v>
      </c>
      <c r="E48" s="3" t="s">
        <v>30</v>
      </c>
      <c r="F48" s="4">
        <v>54933.88</v>
      </c>
      <c r="G48" s="4" t="s">
        <v>50</v>
      </c>
      <c r="H48" s="4">
        <v>1270.98</v>
      </c>
      <c r="I48" s="3" t="s">
        <v>16</v>
      </c>
      <c r="J48" s="5">
        <v>45709</v>
      </c>
    </row>
    <row r="49" spans="1:10">
      <c r="A49" s="3" t="s">
        <v>139</v>
      </c>
      <c r="B49" s="3" t="s">
        <v>140</v>
      </c>
      <c r="C49" s="3" t="s">
        <v>24</v>
      </c>
      <c r="D49" s="3" t="s">
        <v>35</v>
      </c>
      <c r="E49" s="3" t="s">
        <v>20</v>
      </c>
      <c r="F49" s="4">
        <v>730331.33</v>
      </c>
      <c r="G49" s="4" t="s">
        <v>50</v>
      </c>
      <c r="H49" s="4">
        <v>2133.4499999999998</v>
      </c>
      <c r="I49" s="3" t="s">
        <v>46</v>
      </c>
      <c r="J49" s="5">
        <v>46089</v>
      </c>
    </row>
    <row r="50" spans="1:10">
      <c r="A50" s="3" t="s">
        <v>141</v>
      </c>
      <c r="B50" s="3" t="s">
        <v>142</v>
      </c>
      <c r="C50" s="3" t="s">
        <v>28</v>
      </c>
      <c r="D50" s="3" t="s">
        <v>53</v>
      </c>
      <c r="E50" s="3" t="s">
        <v>14</v>
      </c>
      <c r="F50" s="4">
        <v>949915.2</v>
      </c>
      <c r="G50" s="4" t="s">
        <v>31</v>
      </c>
      <c r="H50" s="4">
        <v>1806.54</v>
      </c>
      <c r="I50" s="3" t="s">
        <v>16</v>
      </c>
      <c r="J50" s="5">
        <v>45699</v>
      </c>
    </row>
    <row r="51" spans="1:10">
      <c r="A51" s="3" t="s">
        <v>143</v>
      </c>
      <c r="B51" s="3" t="s">
        <v>144</v>
      </c>
      <c r="C51" s="3" t="s">
        <v>49</v>
      </c>
      <c r="D51" s="3" t="s">
        <v>53</v>
      </c>
      <c r="E51" s="3" t="s">
        <v>14</v>
      </c>
      <c r="F51" s="4">
        <v>146123.29999999999</v>
      </c>
      <c r="G51" s="4" t="s">
        <v>15</v>
      </c>
      <c r="H51" s="4">
        <v>1768.69</v>
      </c>
      <c r="I51" s="3" t="s">
        <v>16</v>
      </c>
      <c r="J51" s="5">
        <v>46035</v>
      </c>
    </row>
    <row r="52" spans="1:10">
      <c r="A52" s="3" t="s">
        <v>145</v>
      </c>
      <c r="B52" s="3" t="s">
        <v>146</v>
      </c>
      <c r="C52" s="3" t="s">
        <v>49</v>
      </c>
      <c r="D52" s="3" t="s">
        <v>147</v>
      </c>
      <c r="E52" s="3" t="s">
        <v>20</v>
      </c>
      <c r="F52" s="4">
        <v>559732.99</v>
      </c>
      <c r="G52" s="4" t="s">
        <v>50</v>
      </c>
      <c r="H52" s="4">
        <v>2849.76</v>
      </c>
      <c r="I52" s="3" t="s">
        <v>16</v>
      </c>
      <c r="J52" s="5">
        <v>45735</v>
      </c>
    </row>
    <row r="53" spans="1:10">
      <c r="A53" s="3" t="s">
        <v>148</v>
      </c>
      <c r="B53" s="3" t="s">
        <v>149</v>
      </c>
      <c r="C53" s="3" t="s">
        <v>12</v>
      </c>
      <c r="D53" s="3" t="s">
        <v>13</v>
      </c>
      <c r="E53" s="3" t="s">
        <v>30</v>
      </c>
      <c r="F53" s="4">
        <v>771085.73</v>
      </c>
      <c r="G53" s="4" t="s">
        <v>76</v>
      </c>
      <c r="H53" s="4">
        <v>3041.69</v>
      </c>
      <c r="I53" s="3" t="s">
        <v>16</v>
      </c>
      <c r="J53" s="5">
        <v>46176</v>
      </c>
    </row>
    <row r="54" spans="1:10">
      <c r="A54" s="3" t="s">
        <v>150</v>
      </c>
      <c r="B54" s="3" t="s">
        <v>151</v>
      </c>
      <c r="C54" s="3" t="s">
        <v>28</v>
      </c>
      <c r="D54" s="3" t="s">
        <v>65</v>
      </c>
      <c r="E54" s="3" t="s">
        <v>152</v>
      </c>
      <c r="F54" s="4">
        <v>428841.53</v>
      </c>
      <c r="G54" s="4" t="s">
        <v>31</v>
      </c>
      <c r="H54" s="4">
        <v>4295.29</v>
      </c>
      <c r="I54" s="3" t="s">
        <v>41</v>
      </c>
      <c r="J54" s="5">
        <v>45814</v>
      </c>
    </row>
    <row r="55" spans="1:10">
      <c r="A55" s="3" t="s">
        <v>153</v>
      </c>
      <c r="B55" s="3" t="s">
        <v>154</v>
      </c>
      <c r="C55" s="3" t="s">
        <v>12</v>
      </c>
      <c r="D55" s="3" t="s">
        <v>19</v>
      </c>
      <c r="E55" s="3" t="s">
        <v>30</v>
      </c>
      <c r="F55" s="4">
        <v>278475.8</v>
      </c>
      <c r="G55" s="4" t="s">
        <v>45</v>
      </c>
      <c r="H55" s="4">
        <v>3262.49</v>
      </c>
      <c r="I55" s="3" t="s">
        <v>41</v>
      </c>
      <c r="J55" s="5">
        <v>45932</v>
      </c>
    </row>
    <row r="56" spans="1:10">
      <c r="A56" s="3" t="s">
        <v>155</v>
      </c>
      <c r="B56" s="3" t="s">
        <v>156</v>
      </c>
      <c r="C56" s="3" t="s">
        <v>34</v>
      </c>
      <c r="D56" s="3" t="s">
        <v>13</v>
      </c>
      <c r="E56" s="3" t="s">
        <v>14</v>
      </c>
      <c r="F56" s="4">
        <v>720438.18</v>
      </c>
      <c r="G56" s="4" t="s">
        <v>50</v>
      </c>
      <c r="H56" s="4">
        <v>2485.1999999999998</v>
      </c>
      <c r="I56" s="3" t="s">
        <v>16</v>
      </c>
      <c r="J56" s="5">
        <v>45990</v>
      </c>
    </row>
    <row r="57" spans="1:10">
      <c r="A57" s="3" t="s">
        <v>157</v>
      </c>
      <c r="B57" s="3" t="s">
        <v>158</v>
      </c>
      <c r="C57" s="3" t="s">
        <v>49</v>
      </c>
      <c r="D57" s="3" t="s">
        <v>68</v>
      </c>
      <c r="E57" s="3" t="s">
        <v>20</v>
      </c>
      <c r="F57" s="4">
        <v>287285.81</v>
      </c>
      <c r="G57" s="4" t="s">
        <v>21</v>
      </c>
      <c r="H57" s="4">
        <v>3812.54</v>
      </c>
      <c r="I57" s="3" t="s">
        <v>16</v>
      </c>
      <c r="J57" s="5">
        <v>45853</v>
      </c>
    </row>
    <row r="58" spans="1:10">
      <c r="A58" s="3" t="s">
        <v>159</v>
      </c>
      <c r="B58" s="3" t="s">
        <v>160</v>
      </c>
      <c r="C58" s="3" t="s">
        <v>12</v>
      </c>
      <c r="D58" s="3" t="s">
        <v>100</v>
      </c>
      <c r="E58" s="3" t="s">
        <v>14</v>
      </c>
      <c r="F58" s="4">
        <v>665360.59</v>
      </c>
      <c r="G58" s="4" t="s">
        <v>45</v>
      </c>
      <c r="H58" s="4">
        <v>3161.46</v>
      </c>
      <c r="I58" s="3" t="s">
        <v>16</v>
      </c>
      <c r="J58" s="5">
        <v>45959</v>
      </c>
    </row>
    <row r="59" spans="1:10">
      <c r="A59" s="3" t="s">
        <v>161</v>
      </c>
      <c r="B59" s="3" t="s">
        <v>162</v>
      </c>
      <c r="C59" s="3" t="s">
        <v>12</v>
      </c>
      <c r="D59" s="3" t="s">
        <v>35</v>
      </c>
      <c r="E59" s="3" t="s">
        <v>30</v>
      </c>
      <c r="F59" s="4">
        <v>369498.81</v>
      </c>
      <c r="G59" s="4" t="s">
        <v>31</v>
      </c>
      <c r="H59" s="4">
        <v>3024.3</v>
      </c>
      <c r="I59" s="3" t="s">
        <v>41</v>
      </c>
      <c r="J59" s="5">
        <v>45996</v>
      </c>
    </row>
    <row r="60" spans="1:10">
      <c r="A60" s="3" t="s">
        <v>163</v>
      </c>
      <c r="B60" s="3" t="s">
        <v>164</v>
      </c>
      <c r="C60" s="3" t="s">
        <v>24</v>
      </c>
      <c r="D60" s="3" t="s">
        <v>13</v>
      </c>
      <c r="E60" s="3" t="s">
        <v>14</v>
      </c>
      <c r="F60" s="4">
        <v>693581.58</v>
      </c>
      <c r="G60" s="4" t="s">
        <v>31</v>
      </c>
      <c r="H60" s="4">
        <v>1173.31</v>
      </c>
      <c r="I60" s="3" t="s">
        <v>16</v>
      </c>
      <c r="J60" s="5">
        <v>45847</v>
      </c>
    </row>
    <row r="61" spans="1:10">
      <c r="A61" s="3" t="s">
        <v>165</v>
      </c>
      <c r="B61" s="3" t="s">
        <v>166</v>
      </c>
      <c r="C61" s="3" t="s">
        <v>12</v>
      </c>
      <c r="D61" s="3" t="s">
        <v>65</v>
      </c>
      <c r="E61" s="3" t="s">
        <v>20</v>
      </c>
      <c r="F61" s="4">
        <v>696618.2</v>
      </c>
      <c r="G61" s="4" t="s">
        <v>21</v>
      </c>
      <c r="H61" s="4">
        <v>6382.09</v>
      </c>
      <c r="I61" s="3" t="s">
        <v>41</v>
      </c>
      <c r="J61" s="5">
        <v>45961</v>
      </c>
    </row>
    <row r="62" spans="1:10">
      <c r="A62" s="3" t="s">
        <v>167</v>
      </c>
      <c r="B62" s="3" t="s">
        <v>168</v>
      </c>
      <c r="C62" s="3" t="s">
        <v>49</v>
      </c>
      <c r="D62" s="3" t="s">
        <v>44</v>
      </c>
      <c r="E62" s="3" t="s">
        <v>14</v>
      </c>
      <c r="F62" s="4">
        <v>282366.42</v>
      </c>
      <c r="G62" s="4" t="s">
        <v>76</v>
      </c>
      <c r="H62" s="4">
        <v>4669.38</v>
      </c>
      <c r="I62" s="3" t="s">
        <v>16</v>
      </c>
      <c r="J62" s="5">
        <v>46160</v>
      </c>
    </row>
    <row r="63" spans="1:10">
      <c r="A63" s="3" t="s">
        <v>169</v>
      </c>
      <c r="B63" s="3" t="s">
        <v>170</v>
      </c>
      <c r="C63" s="3" t="s">
        <v>38</v>
      </c>
      <c r="D63" s="3" t="s">
        <v>13</v>
      </c>
      <c r="E63" s="3" t="s">
        <v>20</v>
      </c>
      <c r="F63" s="4">
        <v>343449.46</v>
      </c>
      <c r="G63" s="4" t="s">
        <v>76</v>
      </c>
      <c r="H63" s="4">
        <v>5663.42</v>
      </c>
      <c r="I63" s="3" t="s">
        <v>16</v>
      </c>
      <c r="J63" s="5">
        <v>45724</v>
      </c>
    </row>
    <row r="64" spans="1:10">
      <c r="A64" s="3" t="s">
        <v>171</v>
      </c>
      <c r="B64" s="3" t="s">
        <v>172</v>
      </c>
      <c r="C64" s="3" t="s">
        <v>34</v>
      </c>
      <c r="D64" s="3" t="s">
        <v>87</v>
      </c>
      <c r="E64" s="3" t="s">
        <v>30</v>
      </c>
      <c r="F64" s="4">
        <v>661534.93999999994</v>
      </c>
      <c r="G64" s="4" t="s">
        <v>173</v>
      </c>
      <c r="H64" s="4">
        <v>965.34</v>
      </c>
      <c r="I64" s="3" t="s">
        <v>16</v>
      </c>
      <c r="J64" s="5">
        <v>46229</v>
      </c>
    </row>
    <row r="65" spans="1:10">
      <c r="A65" s="3" t="s">
        <v>174</v>
      </c>
      <c r="B65" s="3" t="s">
        <v>175</v>
      </c>
      <c r="C65" s="3" t="s">
        <v>38</v>
      </c>
      <c r="D65" s="3" t="s">
        <v>100</v>
      </c>
      <c r="E65" s="3" t="s">
        <v>20</v>
      </c>
      <c r="F65" s="4">
        <v>303564.88</v>
      </c>
      <c r="G65" s="4" t="s">
        <v>50</v>
      </c>
      <c r="H65" s="4">
        <v>2297.5500000000002</v>
      </c>
      <c r="I65" s="3" t="s">
        <v>16</v>
      </c>
      <c r="J65" s="5">
        <v>45759</v>
      </c>
    </row>
    <row r="66" spans="1:10">
      <c r="A66" s="3" t="s">
        <v>176</v>
      </c>
      <c r="B66" s="3" t="s">
        <v>177</v>
      </c>
      <c r="C66" s="3" t="s">
        <v>24</v>
      </c>
      <c r="D66" s="3" t="s">
        <v>178</v>
      </c>
      <c r="E66" s="3" t="s">
        <v>30</v>
      </c>
      <c r="F66" s="4">
        <v>-1000</v>
      </c>
      <c r="G66" s="4" t="s">
        <v>76</v>
      </c>
      <c r="H66" s="4">
        <v>4620.7</v>
      </c>
      <c r="I66" s="3" t="s">
        <v>16</v>
      </c>
      <c r="J66" s="5">
        <v>45691</v>
      </c>
    </row>
    <row r="67" spans="1:10">
      <c r="A67" s="3" t="s">
        <v>179</v>
      </c>
      <c r="B67" s="3" t="s">
        <v>180</v>
      </c>
      <c r="C67" s="3" t="s">
        <v>12</v>
      </c>
      <c r="D67" s="3" t="s">
        <v>13</v>
      </c>
      <c r="E67" s="3" t="s">
        <v>20</v>
      </c>
      <c r="F67" s="4">
        <v>95485.38</v>
      </c>
      <c r="G67" s="4" t="s">
        <v>40</v>
      </c>
      <c r="H67" s="4">
        <v>5216.3599999999997</v>
      </c>
      <c r="I67" s="3" t="s">
        <v>16</v>
      </c>
      <c r="J67" s="5">
        <v>45860</v>
      </c>
    </row>
    <row r="68" spans="1:10">
      <c r="A68" s="3" t="s">
        <v>181</v>
      </c>
      <c r="B68" s="3" t="s">
        <v>182</v>
      </c>
      <c r="C68" s="3" t="s">
        <v>38</v>
      </c>
      <c r="D68" s="3" t="s">
        <v>35</v>
      </c>
      <c r="E68" s="3" t="s">
        <v>20</v>
      </c>
      <c r="F68" s="4">
        <v>790500.67</v>
      </c>
      <c r="G68" s="4" t="s">
        <v>183</v>
      </c>
      <c r="H68" s="4">
        <v>4050.02</v>
      </c>
      <c r="I68" s="3" t="s">
        <v>41</v>
      </c>
      <c r="J68" s="5">
        <v>45953</v>
      </c>
    </row>
    <row r="69" spans="1:10">
      <c r="A69" s="3" t="s">
        <v>184</v>
      </c>
      <c r="B69" s="3" t="s">
        <v>185</v>
      </c>
      <c r="C69" s="3" t="s">
        <v>28</v>
      </c>
      <c r="D69" s="3" t="s">
        <v>13</v>
      </c>
      <c r="E69" s="3" t="s">
        <v>20</v>
      </c>
      <c r="F69" s="4">
        <v>490434.4</v>
      </c>
      <c r="G69" s="4" t="s">
        <v>45</v>
      </c>
      <c r="H69" s="4">
        <v>3098.44</v>
      </c>
      <c r="I69" s="3" t="s">
        <v>16</v>
      </c>
      <c r="J69" s="5">
        <v>46100</v>
      </c>
    </row>
    <row r="70" spans="1:10">
      <c r="A70" s="3" t="s">
        <v>186</v>
      </c>
      <c r="B70" s="3" t="s">
        <v>187</v>
      </c>
      <c r="C70" s="3" t="s">
        <v>34</v>
      </c>
      <c r="D70" s="3" t="s">
        <v>29</v>
      </c>
      <c r="E70" s="3" t="s">
        <v>30</v>
      </c>
      <c r="F70" s="4">
        <v>799081.92</v>
      </c>
      <c r="G70" s="4" t="s">
        <v>76</v>
      </c>
      <c r="H70" s="4">
        <v>4517.3</v>
      </c>
      <c r="I70" s="3" t="s">
        <v>16</v>
      </c>
      <c r="J70" s="5">
        <v>45699</v>
      </c>
    </row>
    <row r="71" spans="1:10">
      <c r="A71" s="3" t="s">
        <v>188</v>
      </c>
      <c r="B71" s="3" t="s">
        <v>189</v>
      </c>
      <c r="C71" s="3" t="s">
        <v>38</v>
      </c>
      <c r="D71" s="3" t="s">
        <v>65</v>
      </c>
      <c r="E71" s="3" t="s">
        <v>20</v>
      </c>
      <c r="F71" s="4">
        <v>196970.02</v>
      </c>
      <c r="G71" s="4" t="s">
        <v>50</v>
      </c>
      <c r="H71" s="4">
        <v>4290.45</v>
      </c>
      <c r="I71" s="3" t="s">
        <v>16</v>
      </c>
      <c r="J71" s="5">
        <v>45751</v>
      </c>
    </row>
    <row r="72" spans="1:10">
      <c r="A72" s="3" t="s">
        <v>190</v>
      </c>
      <c r="B72" s="3" t="s">
        <v>191</v>
      </c>
      <c r="C72" s="3" t="s">
        <v>28</v>
      </c>
      <c r="D72" s="3" t="s">
        <v>68</v>
      </c>
      <c r="E72" s="3" t="s">
        <v>14</v>
      </c>
      <c r="F72" s="4">
        <v>819114.45</v>
      </c>
      <c r="G72" s="4" t="s">
        <v>31</v>
      </c>
      <c r="H72" s="4">
        <v>2940.45</v>
      </c>
      <c r="I72" s="3" t="s">
        <v>16</v>
      </c>
      <c r="J72" s="5">
        <v>46068</v>
      </c>
    </row>
    <row r="73" spans="1:10">
      <c r="A73" s="3" t="s">
        <v>192</v>
      </c>
      <c r="B73" s="3" t="s">
        <v>193</v>
      </c>
      <c r="C73" s="3" t="s">
        <v>34</v>
      </c>
      <c r="D73" s="3" t="s">
        <v>68</v>
      </c>
      <c r="E73" s="3" t="s">
        <v>14</v>
      </c>
      <c r="F73" s="4">
        <v>922569.95</v>
      </c>
      <c r="G73" s="4" t="s">
        <v>50</v>
      </c>
      <c r="H73" s="4">
        <v>5682.71</v>
      </c>
      <c r="I73" s="3" t="s">
        <v>41</v>
      </c>
      <c r="J73" s="5">
        <v>45659</v>
      </c>
    </row>
    <row r="74" spans="1:10">
      <c r="A74" s="3" t="s">
        <v>194</v>
      </c>
      <c r="B74" s="3" t="s">
        <v>195</v>
      </c>
      <c r="C74" s="3" t="s">
        <v>34</v>
      </c>
      <c r="D74" s="3" t="s">
        <v>35</v>
      </c>
      <c r="E74" s="3" t="s">
        <v>30</v>
      </c>
      <c r="F74" s="4">
        <v>725927.7</v>
      </c>
      <c r="G74" s="4" t="s">
        <v>45</v>
      </c>
      <c r="H74" s="4">
        <v>5047.9399999999996</v>
      </c>
      <c r="I74" s="3" t="s">
        <v>16</v>
      </c>
      <c r="J74" s="5">
        <v>46220</v>
      </c>
    </row>
    <row r="75" spans="1:10">
      <c r="A75" s="3" t="s">
        <v>196</v>
      </c>
      <c r="B75" s="3" t="s">
        <v>197</v>
      </c>
      <c r="C75" s="3" t="s">
        <v>28</v>
      </c>
      <c r="D75" s="3" t="s">
        <v>65</v>
      </c>
      <c r="E75" s="3" t="s">
        <v>14</v>
      </c>
      <c r="F75" s="4">
        <v>56559.89</v>
      </c>
      <c r="G75" s="4" t="s">
        <v>40</v>
      </c>
      <c r="H75" s="4">
        <v>2330.04</v>
      </c>
      <c r="I75" s="3" t="s">
        <v>16</v>
      </c>
      <c r="J75" s="5">
        <v>46075</v>
      </c>
    </row>
    <row r="76" spans="1:10">
      <c r="A76" s="3" t="s">
        <v>198</v>
      </c>
      <c r="B76" s="3" t="s">
        <v>199</v>
      </c>
      <c r="C76" s="3" t="s">
        <v>34</v>
      </c>
      <c r="D76" s="3" t="s">
        <v>65</v>
      </c>
      <c r="E76" s="3" t="s">
        <v>14</v>
      </c>
      <c r="F76" s="4">
        <v>625892.91</v>
      </c>
      <c r="G76" s="4" t="s">
        <v>81</v>
      </c>
      <c r="H76" s="4">
        <v>4785.45</v>
      </c>
      <c r="I76" s="3" t="s">
        <v>16</v>
      </c>
      <c r="J76" s="5">
        <v>45937</v>
      </c>
    </row>
    <row r="77" spans="1:10">
      <c r="A77" s="3" t="s">
        <v>200</v>
      </c>
      <c r="B77" s="3" t="s">
        <v>201</v>
      </c>
      <c r="C77" s="3" t="s">
        <v>28</v>
      </c>
      <c r="D77" s="3" t="s">
        <v>35</v>
      </c>
      <c r="E77" s="3" t="s">
        <v>14</v>
      </c>
      <c r="F77" s="4">
        <v>382899.13</v>
      </c>
      <c r="G77" s="4" t="s">
        <v>81</v>
      </c>
      <c r="H77" s="4">
        <v>2121.3000000000002</v>
      </c>
      <c r="I77" s="3" t="s">
        <v>41</v>
      </c>
      <c r="J77" s="5">
        <v>46082</v>
      </c>
    </row>
    <row r="78" spans="1:10">
      <c r="A78" s="3" t="s">
        <v>202</v>
      </c>
      <c r="B78" s="3" t="s">
        <v>203</v>
      </c>
      <c r="C78" s="3" t="s">
        <v>34</v>
      </c>
      <c r="D78" s="3" t="s">
        <v>13</v>
      </c>
      <c r="E78" s="3" t="s">
        <v>30</v>
      </c>
      <c r="F78" s="4">
        <v>563529.51</v>
      </c>
      <c r="G78" s="4" t="s">
        <v>45</v>
      </c>
      <c r="H78" s="4">
        <v>5684.83</v>
      </c>
      <c r="I78" s="3" t="s">
        <v>16</v>
      </c>
      <c r="J78" s="5">
        <v>46153</v>
      </c>
    </row>
    <row r="79" spans="1:10">
      <c r="A79" s="3" t="s">
        <v>204</v>
      </c>
      <c r="B79" s="3" t="s">
        <v>205</v>
      </c>
      <c r="C79" s="3" t="s">
        <v>38</v>
      </c>
      <c r="D79" s="3" t="s">
        <v>19</v>
      </c>
      <c r="E79" s="3" t="s">
        <v>20</v>
      </c>
      <c r="F79" s="4">
        <v>448917.05</v>
      </c>
      <c r="G79" s="4" t="s">
        <v>31</v>
      </c>
      <c r="H79" s="4">
        <v>5711.09</v>
      </c>
      <c r="I79" s="3" t="s">
        <v>46</v>
      </c>
      <c r="J79" s="5">
        <v>45902</v>
      </c>
    </row>
    <row r="80" spans="1:10">
      <c r="A80" s="3"/>
      <c r="B80" s="3" t="s">
        <v>206</v>
      </c>
      <c r="C80" s="3" t="s">
        <v>28</v>
      </c>
      <c r="D80" s="3" t="s">
        <v>53</v>
      </c>
      <c r="E80" s="3" t="s">
        <v>20</v>
      </c>
      <c r="F80" s="4">
        <v>678809.65</v>
      </c>
      <c r="G80" s="4" t="s">
        <v>50</v>
      </c>
      <c r="H80" s="4">
        <v>2785.78</v>
      </c>
      <c r="I80" s="3" t="s">
        <v>16</v>
      </c>
      <c r="J80" s="5">
        <v>45813</v>
      </c>
    </row>
    <row r="81" spans="1:10">
      <c r="A81" s="3" t="s">
        <v>207</v>
      </c>
      <c r="B81" s="3" t="s">
        <v>208</v>
      </c>
      <c r="C81" s="3" t="s">
        <v>49</v>
      </c>
      <c r="D81" s="3" t="s">
        <v>19</v>
      </c>
      <c r="E81" s="3" t="s">
        <v>30</v>
      </c>
      <c r="F81" s="4">
        <v>335435.13</v>
      </c>
      <c r="G81" s="4" t="s">
        <v>15</v>
      </c>
      <c r="H81" s="4">
        <v>3113.85</v>
      </c>
      <c r="I81" s="3" t="s">
        <v>16</v>
      </c>
      <c r="J81" s="5">
        <v>46125</v>
      </c>
    </row>
    <row r="82" spans="1:10">
      <c r="A82" s="3" t="s">
        <v>209</v>
      </c>
      <c r="B82" s="3" t="s">
        <v>210</v>
      </c>
      <c r="C82" s="3" t="s">
        <v>28</v>
      </c>
      <c r="D82" s="3" t="s">
        <v>25</v>
      </c>
      <c r="E82" s="3" t="s">
        <v>20</v>
      </c>
      <c r="F82" s="4">
        <v>603398.65</v>
      </c>
      <c r="G82" s="4" t="s">
        <v>50</v>
      </c>
      <c r="H82" s="4">
        <v>4381.51</v>
      </c>
      <c r="I82" s="3" t="s">
        <v>41</v>
      </c>
      <c r="J82" s="5">
        <v>46204</v>
      </c>
    </row>
    <row r="83" spans="1:10">
      <c r="A83" s="3" t="s">
        <v>211</v>
      </c>
      <c r="B83" s="3" t="s">
        <v>212</v>
      </c>
      <c r="C83" s="3" t="s">
        <v>12</v>
      </c>
      <c r="D83" s="3" t="s">
        <v>65</v>
      </c>
      <c r="E83" s="3" t="s">
        <v>30</v>
      </c>
      <c r="F83" s="4">
        <v>63027.17</v>
      </c>
      <c r="G83" s="4" t="s">
        <v>15</v>
      </c>
      <c r="H83" s="4">
        <v>4590.62</v>
      </c>
      <c r="I83" s="3" t="s">
        <v>16</v>
      </c>
      <c r="J83" s="5">
        <v>45890</v>
      </c>
    </row>
    <row r="84" spans="1:10">
      <c r="A84" s="3" t="s">
        <v>213</v>
      </c>
      <c r="B84" s="3" t="s">
        <v>214</v>
      </c>
      <c r="C84" s="3" t="s">
        <v>34</v>
      </c>
      <c r="D84" s="3" t="s">
        <v>29</v>
      </c>
      <c r="E84" s="3" t="s">
        <v>30</v>
      </c>
      <c r="F84" s="4">
        <v>305508.78999999998</v>
      </c>
      <c r="G84" s="4" t="s">
        <v>215</v>
      </c>
      <c r="H84" s="4">
        <v>2224.88</v>
      </c>
      <c r="I84" s="3" t="s">
        <v>16</v>
      </c>
      <c r="J84" s="5">
        <v>45807</v>
      </c>
    </row>
    <row r="85" spans="1:10">
      <c r="A85" s="3" t="s">
        <v>216</v>
      </c>
      <c r="B85" s="3" t="s">
        <v>217</v>
      </c>
      <c r="C85" s="3" t="s">
        <v>38</v>
      </c>
      <c r="D85" s="3" t="s">
        <v>218</v>
      </c>
      <c r="E85" s="3" t="s">
        <v>30</v>
      </c>
      <c r="F85" s="4">
        <v>831172.43</v>
      </c>
      <c r="G85" s="4" t="s">
        <v>40</v>
      </c>
      <c r="H85" s="4">
        <v>3978.1</v>
      </c>
      <c r="I85" s="3" t="s">
        <v>219</v>
      </c>
      <c r="J85" s="5">
        <v>45918</v>
      </c>
    </row>
    <row r="86" spans="1:10">
      <c r="A86" s="3" t="s">
        <v>220</v>
      </c>
      <c r="B86" s="3" t="s">
        <v>221</v>
      </c>
      <c r="C86" s="3" t="s">
        <v>12</v>
      </c>
      <c r="D86" s="3" t="s">
        <v>53</v>
      </c>
      <c r="E86" s="3" t="s">
        <v>20</v>
      </c>
      <c r="F86" s="4">
        <v>859112.67</v>
      </c>
      <c r="G86" s="4" t="s">
        <v>173</v>
      </c>
      <c r="H86" s="4">
        <v>6425.29</v>
      </c>
      <c r="I86" s="3" t="s">
        <v>16</v>
      </c>
      <c r="J86" s="5">
        <v>46092</v>
      </c>
    </row>
    <row r="87" spans="1:10">
      <c r="A87" s="3" t="s">
        <v>222</v>
      </c>
      <c r="B87" s="3" t="s">
        <v>223</v>
      </c>
      <c r="C87" s="3" t="s">
        <v>24</v>
      </c>
      <c r="D87" s="3" t="s">
        <v>35</v>
      </c>
      <c r="E87" s="3" t="s">
        <v>20</v>
      </c>
      <c r="F87" s="4">
        <v>128121.01</v>
      </c>
      <c r="G87" s="4" t="s">
        <v>50</v>
      </c>
      <c r="H87" s="4">
        <v>3910.13</v>
      </c>
      <c r="I87" s="3" t="s">
        <v>16</v>
      </c>
      <c r="J87" s="5">
        <v>45960</v>
      </c>
    </row>
    <row r="88" spans="1:10">
      <c r="A88" s="3" t="s">
        <v>224</v>
      </c>
      <c r="B88" s="3" t="s">
        <v>225</v>
      </c>
      <c r="C88" s="3" t="s">
        <v>24</v>
      </c>
      <c r="D88" s="3" t="s">
        <v>53</v>
      </c>
      <c r="E88" s="3" t="s">
        <v>30</v>
      </c>
      <c r="F88" s="4">
        <v>746046.69</v>
      </c>
      <c r="G88" s="4" t="s">
        <v>76</v>
      </c>
      <c r="H88" s="4">
        <v>4958.29</v>
      </c>
      <c r="I88" s="3" t="s">
        <v>41</v>
      </c>
      <c r="J88" s="5">
        <v>45951</v>
      </c>
    </row>
    <row r="89" spans="1:10">
      <c r="A89" s="3" t="s">
        <v>226</v>
      </c>
      <c r="B89" s="3" t="s">
        <v>227</v>
      </c>
      <c r="C89" s="3" t="s">
        <v>49</v>
      </c>
      <c r="D89" s="3" t="s">
        <v>35</v>
      </c>
      <c r="E89" s="3" t="s">
        <v>30</v>
      </c>
      <c r="F89" s="4">
        <v>725131.14</v>
      </c>
      <c r="G89" s="4" t="s">
        <v>81</v>
      </c>
      <c r="H89" s="4">
        <v>5915.59</v>
      </c>
      <c r="I89" s="3" t="s">
        <v>16</v>
      </c>
      <c r="J89" s="5">
        <v>45974</v>
      </c>
    </row>
    <row r="90" spans="1:10">
      <c r="A90" s="3" t="s">
        <v>228</v>
      </c>
      <c r="B90" s="3" t="s">
        <v>229</v>
      </c>
      <c r="C90" s="3" t="s">
        <v>38</v>
      </c>
      <c r="D90" s="3" t="s">
        <v>68</v>
      </c>
      <c r="E90" s="3" t="s">
        <v>14</v>
      </c>
      <c r="F90" s="4">
        <v>866857.59</v>
      </c>
      <c r="G90" s="4" t="s">
        <v>31</v>
      </c>
      <c r="H90" s="4">
        <v>4972.26</v>
      </c>
      <c r="I90" s="3" t="s">
        <v>16</v>
      </c>
      <c r="J90" s="5">
        <v>45793</v>
      </c>
    </row>
    <row r="91" spans="1:10">
      <c r="A91" s="3" t="s">
        <v>230</v>
      </c>
      <c r="B91" s="3" t="s">
        <v>231</v>
      </c>
      <c r="C91" s="3" t="s">
        <v>49</v>
      </c>
      <c r="D91" s="3" t="s">
        <v>13</v>
      </c>
      <c r="E91" s="3" t="s">
        <v>20</v>
      </c>
      <c r="F91" s="4">
        <v>919993.35</v>
      </c>
      <c r="G91" s="4" t="s">
        <v>21</v>
      </c>
      <c r="H91" s="4">
        <v>4966.68</v>
      </c>
      <c r="I91" s="3" t="s">
        <v>16</v>
      </c>
      <c r="J91" s="5">
        <v>45775</v>
      </c>
    </row>
    <row r="92" spans="1:10">
      <c r="A92" s="3" t="s">
        <v>232</v>
      </c>
      <c r="B92" s="3" t="s">
        <v>233</v>
      </c>
      <c r="C92" s="3" t="s">
        <v>49</v>
      </c>
      <c r="D92" s="3" t="s">
        <v>35</v>
      </c>
      <c r="E92" s="3" t="s">
        <v>30</v>
      </c>
      <c r="F92" s="4">
        <v>650453.73</v>
      </c>
      <c r="G92" s="4" t="s">
        <v>50</v>
      </c>
      <c r="H92" s="4">
        <v>6301.98</v>
      </c>
      <c r="I92" s="3" t="s">
        <v>41</v>
      </c>
      <c r="J92" s="5">
        <v>46032</v>
      </c>
    </row>
    <row r="93" spans="1:10">
      <c r="A93" s="3" t="s">
        <v>234</v>
      </c>
      <c r="B93" s="3" t="s">
        <v>235</v>
      </c>
      <c r="C93" s="3" t="s">
        <v>34</v>
      </c>
      <c r="D93" s="3" t="s">
        <v>13</v>
      </c>
      <c r="E93" s="3" t="s">
        <v>20</v>
      </c>
      <c r="F93" s="4">
        <v>369098.81</v>
      </c>
      <c r="G93" s="4" t="s">
        <v>21</v>
      </c>
      <c r="H93" s="4">
        <v>3986.59</v>
      </c>
      <c r="I93" s="3" t="s">
        <v>41</v>
      </c>
      <c r="J93" s="5">
        <v>46038</v>
      </c>
    </row>
    <row r="94" spans="1:10">
      <c r="A94" s="3" t="s">
        <v>236</v>
      </c>
      <c r="B94" s="3" t="s">
        <v>237</v>
      </c>
      <c r="C94" s="3" t="s">
        <v>28</v>
      </c>
      <c r="D94" s="3" t="s">
        <v>53</v>
      </c>
      <c r="E94" s="3" t="s">
        <v>30</v>
      </c>
      <c r="F94" s="4">
        <v>331765.78000000003</v>
      </c>
      <c r="G94" s="4" t="s">
        <v>40</v>
      </c>
      <c r="H94" s="4">
        <v>4294.1899999999996</v>
      </c>
      <c r="I94" s="3" t="s">
        <v>16</v>
      </c>
      <c r="J94" s="5">
        <v>45967</v>
      </c>
    </row>
    <row r="95" spans="1:10">
      <c r="A95" s="3" t="s">
        <v>238</v>
      </c>
      <c r="B95" s="3" t="s">
        <v>239</v>
      </c>
      <c r="C95" s="3" t="s">
        <v>49</v>
      </c>
      <c r="D95" s="3" t="s">
        <v>53</v>
      </c>
      <c r="E95" s="3" t="s">
        <v>20</v>
      </c>
      <c r="F95" s="4">
        <v>946253.18</v>
      </c>
      <c r="G95" s="4" t="s">
        <v>240</v>
      </c>
      <c r="H95" s="4">
        <v>2801.31</v>
      </c>
      <c r="I95" s="3" t="s">
        <v>16</v>
      </c>
      <c r="J95" s="5">
        <v>46211</v>
      </c>
    </row>
    <row r="96" spans="1:10">
      <c r="A96" s="3" t="s">
        <v>241</v>
      </c>
      <c r="B96" s="3" t="s">
        <v>242</v>
      </c>
      <c r="C96" s="3" t="s">
        <v>28</v>
      </c>
      <c r="D96" s="3" t="s">
        <v>29</v>
      </c>
      <c r="E96" s="3" t="s">
        <v>30</v>
      </c>
      <c r="F96" s="4">
        <v>405466.61</v>
      </c>
      <c r="G96" s="4" t="s">
        <v>21</v>
      </c>
      <c r="H96" s="4">
        <v>647.92999999999995</v>
      </c>
      <c r="I96" s="3" t="s">
        <v>16</v>
      </c>
      <c r="J96" s="5">
        <v>46112</v>
      </c>
    </row>
    <row r="97" spans="1:10">
      <c r="A97" s="3" t="s">
        <v>243</v>
      </c>
      <c r="B97" s="3" t="s">
        <v>244</v>
      </c>
      <c r="C97" s="3" t="s">
        <v>24</v>
      </c>
      <c r="D97" s="3" t="s">
        <v>29</v>
      </c>
      <c r="E97" s="3" t="s">
        <v>20</v>
      </c>
      <c r="F97" s="4">
        <v>530908.59</v>
      </c>
      <c r="G97" s="4" t="s">
        <v>31</v>
      </c>
      <c r="H97" s="4">
        <v>816.33</v>
      </c>
      <c r="I97" s="3" t="s">
        <v>16</v>
      </c>
      <c r="J97" s="5">
        <v>45783</v>
      </c>
    </row>
    <row r="98" spans="1:10">
      <c r="A98" s="3" t="s">
        <v>133</v>
      </c>
      <c r="B98" s="3" t="s">
        <v>245</v>
      </c>
      <c r="C98" s="3" t="s">
        <v>12</v>
      </c>
      <c r="D98" s="3" t="s">
        <v>35</v>
      </c>
      <c r="E98" s="3" t="s">
        <v>30</v>
      </c>
      <c r="F98" s="4">
        <v>923405.85</v>
      </c>
      <c r="G98" s="4" t="s">
        <v>76</v>
      </c>
      <c r="H98" s="4">
        <v>1923.59</v>
      </c>
      <c r="I98" s="3" t="s">
        <v>16</v>
      </c>
      <c r="J98" s="5">
        <v>46236</v>
      </c>
    </row>
    <row r="99" spans="1:10">
      <c r="A99" s="3" t="s">
        <v>246</v>
      </c>
      <c r="B99" s="3" t="s">
        <v>247</v>
      </c>
      <c r="C99" s="3" t="s">
        <v>38</v>
      </c>
      <c r="D99" s="3" t="s">
        <v>35</v>
      </c>
      <c r="E99" s="3" t="s">
        <v>14</v>
      </c>
      <c r="F99" s="4">
        <v>332274.78999999998</v>
      </c>
      <c r="G99" s="4" t="s">
        <v>81</v>
      </c>
      <c r="H99" s="4">
        <v>4055.69</v>
      </c>
      <c r="I99" s="3" t="s">
        <v>16</v>
      </c>
      <c r="J99" s="5">
        <v>45806</v>
      </c>
    </row>
    <row r="100" spans="1:10">
      <c r="A100" s="3" t="s">
        <v>248</v>
      </c>
      <c r="B100" s="3" t="s">
        <v>249</v>
      </c>
      <c r="C100" s="3" t="s">
        <v>49</v>
      </c>
      <c r="D100" s="3" t="s">
        <v>29</v>
      </c>
      <c r="E100" s="3" t="s">
        <v>14</v>
      </c>
      <c r="F100" s="4">
        <v>151258.97</v>
      </c>
      <c r="G100" s="4" t="s">
        <v>31</v>
      </c>
      <c r="H100" s="4">
        <v>5229.41</v>
      </c>
      <c r="I100" s="3" t="s">
        <v>16</v>
      </c>
      <c r="J100" s="5">
        <v>45989</v>
      </c>
    </row>
    <row r="101" spans="1:10">
      <c r="A101" s="3" t="s">
        <v>250</v>
      </c>
      <c r="B101" s="3" t="s">
        <v>251</v>
      </c>
      <c r="C101" s="3" t="s">
        <v>24</v>
      </c>
      <c r="D101" s="3" t="s">
        <v>252</v>
      </c>
      <c r="E101" s="3" t="s">
        <v>30</v>
      </c>
      <c r="F101" s="4">
        <v>134557.35999999999</v>
      </c>
      <c r="G101" s="4" t="s">
        <v>15</v>
      </c>
      <c r="H101" s="4">
        <v>5157</v>
      </c>
      <c r="I101" s="3" t="s">
        <v>16</v>
      </c>
      <c r="J101" s="5">
        <v>45769</v>
      </c>
    </row>
    <row r="102" spans="1:10">
      <c r="A102" s="3" t="s">
        <v>253</v>
      </c>
      <c r="B102" s="3" t="s">
        <v>254</v>
      </c>
      <c r="C102" s="3" t="s">
        <v>38</v>
      </c>
      <c r="D102" s="3" t="s">
        <v>53</v>
      </c>
      <c r="E102" s="3" t="s">
        <v>30</v>
      </c>
      <c r="F102" s="4">
        <v>509735.12</v>
      </c>
      <c r="G102" s="4" t="s">
        <v>45</v>
      </c>
      <c r="H102" s="4">
        <v>4342.21</v>
      </c>
      <c r="I102" s="3" t="s">
        <v>16</v>
      </c>
      <c r="J102" s="5">
        <v>46148</v>
      </c>
    </row>
    <row r="103" spans="1:10">
      <c r="A103" s="3" t="s">
        <v>255</v>
      </c>
      <c r="B103" s="3" t="s">
        <v>256</v>
      </c>
      <c r="C103" s="3" t="s">
        <v>12</v>
      </c>
      <c r="D103" s="3" t="s">
        <v>29</v>
      </c>
      <c r="E103" s="3" t="s">
        <v>20</v>
      </c>
      <c r="F103" s="4">
        <v>97611.46</v>
      </c>
      <c r="G103" s="4" t="s">
        <v>15</v>
      </c>
      <c r="H103" s="4">
        <v>-200</v>
      </c>
      <c r="I103" s="3" t="s">
        <v>16</v>
      </c>
      <c r="J103" s="5">
        <v>46257</v>
      </c>
    </row>
    <row r="104" spans="1:10">
      <c r="A104" s="3" t="s">
        <v>257</v>
      </c>
      <c r="B104" s="3" t="s">
        <v>258</v>
      </c>
      <c r="C104" s="3" t="s">
        <v>38</v>
      </c>
      <c r="D104" s="3" t="s">
        <v>19</v>
      </c>
      <c r="E104" s="3" t="s">
        <v>20</v>
      </c>
      <c r="F104" s="4">
        <v>447418.18</v>
      </c>
      <c r="G104" s="4" t="s">
        <v>50</v>
      </c>
      <c r="H104" s="4">
        <v>1050.03</v>
      </c>
      <c r="I104" s="3" t="s">
        <v>16</v>
      </c>
      <c r="J104" s="5">
        <v>46222</v>
      </c>
    </row>
    <row r="105" spans="1:10">
      <c r="A105" s="3" t="s">
        <v>259</v>
      </c>
      <c r="B105" s="3" t="s">
        <v>260</v>
      </c>
      <c r="C105" s="3" t="s">
        <v>28</v>
      </c>
      <c r="D105" s="3" t="s">
        <v>35</v>
      </c>
      <c r="E105" s="3" t="s">
        <v>20</v>
      </c>
      <c r="F105" s="4">
        <v>396831.77</v>
      </c>
      <c r="G105" s="4" t="s">
        <v>15</v>
      </c>
      <c r="H105" s="4">
        <v>2340.77</v>
      </c>
      <c r="I105" s="3" t="s">
        <v>16</v>
      </c>
      <c r="J105" s="5">
        <v>45814</v>
      </c>
    </row>
    <row r="106" spans="1:10">
      <c r="A106" s="3" t="s">
        <v>261</v>
      </c>
      <c r="B106" s="3" t="s">
        <v>262</v>
      </c>
      <c r="C106" s="3" t="s">
        <v>34</v>
      </c>
      <c r="D106" s="3" t="s">
        <v>263</v>
      </c>
      <c r="E106" s="3" t="s">
        <v>30</v>
      </c>
      <c r="F106" s="4">
        <v>709692.32</v>
      </c>
      <c r="G106" s="4" t="s">
        <v>81</v>
      </c>
      <c r="H106" s="4">
        <v>3998.11</v>
      </c>
      <c r="I106" s="3" t="s">
        <v>16</v>
      </c>
      <c r="J106" s="5">
        <v>45995</v>
      </c>
    </row>
    <row r="107" spans="1:10">
      <c r="A107" s="3" t="s">
        <v>264</v>
      </c>
      <c r="B107" s="3" t="s">
        <v>265</v>
      </c>
      <c r="C107" s="3" t="s">
        <v>24</v>
      </c>
      <c r="D107" s="3" t="s">
        <v>100</v>
      </c>
      <c r="E107" s="3" t="s">
        <v>30</v>
      </c>
      <c r="F107" s="4">
        <v>77330.39</v>
      </c>
      <c r="G107" s="4" t="s">
        <v>21</v>
      </c>
      <c r="H107" s="4">
        <v>4082.48</v>
      </c>
      <c r="I107" s="3" t="s">
        <v>16</v>
      </c>
      <c r="J107" s="5">
        <v>46249</v>
      </c>
    </row>
    <row r="108" spans="1:10">
      <c r="A108" s="3" t="s">
        <v>266</v>
      </c>
      <c r="B108" s="3" t="s">
        <v>267</v>
      </c>
      <c r="C108" s="3" t="s">
        <v>12</v>
      </c>
      <c r="D108" s="3" t="s">
        <v>65</v>
      </c>
      <c r="E108" s="3" t="s">
        <v>14</v>
      </c>
      <c r="F108" s="4">
        <v>809492.86</v>
      </c>
      <c r="G108" s="4" t="s">
        <v>31</v>
      </c>
      <c r="H108" s="4">
        <v>5564.51</v>
      </c>
      <c r="I108" s="3" t="s">
        <v>16</v>
      </c>
      <c r="J108" s="5">
        <v>45943</v>
      </c>
    </row>
    <row r="109" spans="1:10">
      <c r="A109" s="3" t="s">
        <v>268</v>
      </c>
      <c r="B109" s="3" t="s">
        <v>269</v>
      </c>
      <c r="C109" s="3" t="s">
        <v>38</v>
      </c>
      <c r="D109" s="3" t="s">
        <v>87</v>
      </c>
      <c r="E109" s="3" t="s">
        <v>30</v>
      </c>
      <c r="F109" s="4">
        <v>650978.56999999995</v>
      </c>
      <c r="G109" s="4" t="s">
        <v>76</v>
      </c>
      <c r="H109" s="4">
        <v>4429.88</v>
      </c>
      <c r="I109" s="3" t="s">
        <v>16</v>
      </c>
      <c r="J109" s="5">
        <v>45687</v>
      </c>
    </row>
    <row r="110" spans="1:10">
      <c r="A110" s="3" t="s">
        <v>270</v>
      </c>
      <c r="B110" s="3" t="s">
        <v>271</v>
      </c>
      <c r="C110" s="3" t="s">
        <v>12</v>
      </c>
      <c r="D110" s="3" t="s">
        <v>13</v>
      </c>
      <c r="E110" s="3" t="s">
        <v>20</v>
      </c>
      <c r="F110" s="4">
        <v>35617.33</v>
      </c>
      <c r="G110" s="4" t="s">
        <v>81</v>
      </c>
      <c r="H110" s="4">
        <v>2874.75</v>
      </c>
      <c r="I110" s="3" t="s">
        <v>16</v>
      </c>
      <c r="J110" s="5">
        <v>45689</v>
      </c>
    </row>
    <row r="111" spans="1:10">
      <c r="A111" s="3" t="s">
        <v>272</v>
      </c>
      <c r="B111" s="3" t="s">
        <v>273</v>
      </c>
      <c r="C111" s="3" t="s">
        <v>28</v>
      </c>
      <c r="D111" s="3" t="s">
        <v>100</v>
      </c>
      <c r="E111" s="3" t="s">
        <v>14</v>
      </c>
      <c r="F111" s="4">
        <v>370448.85</v>
      </c>
      <c r="G111" s="4" t="s">
        <v>31</v>
      </c>
      <c r="H111" s="4">
        <v>5149.8599999999997</v>
      </c>
      <c r="I111" s="3" t="s">
        <v>16</v>
      </c>
      <c r="J111" s="5">
        <v>45744</v>
      </c>
    </row>
    <row r="112" spans="1:10">
      <c r="A112" s="3" t="s">
        <v>274</v>
      </c>
      <c r="B112" s="3" t="s">
        <v>275</v>
      </c>
      <c r="C112" s="3" t="s">
        <v>49</v>
      </c>
      <c r="D112" s="3" t="s">
        <v>87</v>
      </c>
      <c r="E112" s="3" t="s">
        <v>14</v>
      </c>
      <c r="F112" s="4">
        <v>650051.21</v>
      </c>
      <c r="G112" s="4" t="s">
        <v>21</v>
      </c>
      <c r="H112" s="4">
        <v>3130.83</v>
      </c>
      <c r="I112" s="3" t="s">
        <v>16</v>
      </c>
      <c r="J112" s="5">
        <v>46110</v>
      </c>
    </row>
    <row r="113" spans="1:10">
      <c r="A113" s="3" t="s">
        <v>276</v>
      </c>
      <c r="B113" s="3" t="s">
        <v>277</v>
      </c>
      <c r="C113" s="3" t="s">
        <v>49</v>
      </c>
      <c r="D113" s="3" t="s">
        <v>19</v>
      </c>
      <c r="E113" s="3" t="s">
        <v>278</v>
      </c>
      <c r="F113" s="4">
        <v>347559.03</v>
      </c>
      <c r="G113" s="4" t="s">
        <v>15</v>
      </c>
      <c r="H113" s="4">
        <v>4554.84</v>
      </c>
      <c r="I113" s="3" t="s">
        <v>16</v>
      </c>
      <c r="J113" s="5">
        <v>45973</v>
      </c>
    </row>
    <row r="114" spans="1:10">
      <c r="A114" s="3" t="s">
        <v>279</v>
      </c>
      <c r="B114" s="3" t="s">
        <v>280</v>
      </c>
      <c r="C114" s="3" t="s">
        <v>28</v>
      </c>
      <c r="D114" s="3" t="s">
        <v>87</v>
      </c>
      <c r="E114" s="3" t="s">
        <v>14</v>
      </c>
      <c r="F114" s="4">
        <v>37072.120000000003</v>
      </c>
      <c r="G114" s="4" t="s">
        <v>21</v>
      </c>
      <c r="H114" s="4">
        <v>6169.21</v>
      </c>
      <c r="I114" s="3" t="s">
        <v>41</v>
      </c>
      <c r="J114" s="5">
        <v>45919</v>
      </c>
    </row>
    <row r="115" spans="1:10">
      <c r="A115" s="3" t="s">
        <v>281</v>
      </c>
      <c r="B115" s="3" t="s">
        <v>282</v>
      </c>
      <c r="C115" s="3" t="s">
        <v>34</v>
      </c>
      <c r="D115" s="3" t="s">
        <v>53</v>
      </c>
      <c r="E115" s="3" t="s">
        <v>20</v>
      </c>
      <c r="F115" s="4">
        <v>191639.22</v>
      </c>
      <c r="G115" s="4" t="s">
        <v>50</v>
      </c>
      <c r="H115" s="4">
        <v>3672.12</v>
      </c>
      <c r="I115" s="3" t="s">
        <v>16</v>
      </c>
      <c r="J115" s="5">
        <v>46230</v>
      </c>
    </row>
    <row r="116" spans="1:10">
      <c r="A116" s="3" t="s">
        <v>283</v>
      </c>
      <c r="B116" s="3" t="s">
        <v>284</v>
      </c>
      <c r="C116" s="3" t="s">
        <v>28</v>
      </c>
      <c r="D116" s="3" t="s">
        <v>53</v>
      </c>
      <c r="E116" s="3" t="s">
        <v>20</v>
      </c>
      <c r="F116" s="4">
        <v>877469.44</v>
      </c>
      <c r="G116" s="4" t="s">
        <v>31</v>
      </c>
      <c r="H116" s="4">
        <v>3933.34</v>
      </c>
      <c r="I116" s="3" t="s">
        <v>16</v>
      </c>
      <c r="J116" s="5">
        <v>46085</v>
      </c>
    </row>
    <row r="117" spans="1:10">
      <c r="A117" s="3" t="s">
        <v>285</v>
      </c>
      <c r="B117" s="3" t="s">
        <v>286</v>
      </c>
      <c r="C117" s="3" t="s">
        <v>28</v>
      </c>
      <c r="D117" s="3" t="s">
        <v>53</v>
      </c>
      <c r="E117" s="3" t="s">
        <v>14</v>
      </c>
      <c r="F117" s="4">
        <v>767216.38</v>
      </c>
      <c r="G117" s="4" t="s">
        <v>45</v>
      </c>
      <c r="H117" s="4">
        <v>5483.76</v>
      </c>
      <c r="I117" s="3" t="s">
        <v>46</v>
      </c>
      <c r="J117" s="5">
        <v>45748</v>
      </c>
    </row>
    <row r="118" spans="1:10">
      <c r="A118" s="3" t="s">
        <v>287</v>
      </c>
      <c r="B118" s="3" t="s">
        <v>288</v>
      </c>
      <c r="C118" s="3" t="s">
        <v>49</v>
      </c>
      <c r="D118" s="3" t="s">
        <v>100</v>
      </c>
      <c r="E118" s="3" t="s">
        <v>30</v>
      </c>
      <c r="F118" s="4">
        <v>102355.32</v>
      </c>
      <c r="G118" s="4" t="s">
        <v>21</v>
      </c>
      <c r="H118" s="4">
        <v>4962.12</v>
      </c>
      <c r="I118" s="3" t="s">
        <v>16</v>
      </c>
      <c r="J118" s="5">
        <v>45830</v>
      </c>
    </row>
    <row r="119" spans="1:10">
      <c r="A119" s="3" t="s">
        <v>289</v>
      </c>
      <c r="B119" s="3"/>
      <c r="C119" s="3" t="s">
        <v>38</v>
      </c>
      <c r="D119" s="3" t="s">
        <v>19</v>
      </c>
      <c r="E119" s="3" t="s">
        <v>14</v>
      </c>
      <c r="F119" s="4">
        <v>863448.91</v>
      </c>
      <c r="G119" s="4" t="s">
        <v>31</v>
      </c>
      <c r="H119" s="4">
        <v>2574.15</v>
      </c>
      <c r="I119" s="3" t="s">
        <v>46</v>
      </c>
      <c r="J119" s="5">
        <v>45809</v>
      </c>
    </row>
    <row r="120" spans="1:10">
      <c r="A120" s="3" t="s">
        <v>290</v>
      </c>
      <c r="B120" s="3" t="s">
        <v>291</v>
      </c>
      <c r="C120" s="3" t="s">
        <v>49</v>
      </c>
      <c r="D120" s="3" t="s">
        <v>44</v>
      </c>
      <c r="E120" s="3" t="s">
        <v>14</v>
      </c>
      <c r="F120" s="4">
        <v>729398.07</v>
      </c>
      <c r="G120" s="4" t="s">
        <v>183</v>
      </c>
      <c r="H120" s="4">
        <v>3256.92</v>
      </c>
      <c r="I120" s="3" t="s">
        <v>16</v>
      </c>
      <c r="J120" s="5">
        <v>46251</v>
      </c>
    </row>
    <row r="121" spans="1:10">
      <c r="A121" s="3" t="s">
        <v>292</v>
      </c>
      <c r="B121" s="3" t="s">
        <v>293</v>
      </c>
      <c r="C121" s="3" t="s">
        <v>12</v>
      </c>
      <c r="D121" s="3" t="s">
        <v>294</v>
      </c>
      <c r="E121" s="3" t="s">
        <v>20</v>
      </c>
      <c r="F121" s="4">
        <v>436831.42</v>
      </c>
      <c r="G121" s="4" t="s">
        <v>21</v>
      </c>
      <c r="H121" s="4">
        <v>5267.79</v>
      </c>
      <c r="I121" s="3" t="s">
        <v>16</v>
      </c>
      <c r="J121" s="5">
        <v>46018</v>
      </c>
    </row>
    <row r="122" spans="1:10">
      <c r="A122" s="3" t="s">
        <v>295</v>
      </c>
      <c r="B122" s="3" t="s">
        <v>296</v>
      </c>
      <c r="C122" s="3" t="s">
        <v>28</v>
      </c>
      <c r="D122" s="3" t="s">
        <v>65</v>
      </c>
      <c r="E122" s="3" t="s">
        <v>14</v>
      </c>
      <c r="F122" s="4">
        <v>82338.850000000006</v>
      </c>
      <c r="G122" s="4" t="s">
        <v>21</v>
      </c>
      <c r="H122" s="4">
        <v>914.22</v>
      </c>
      <c r="I122" s="3" t="s">
        <v>41</v>
      </c>
      <c r="J122" s="5">
        <v>45750</v>
      </c>
    </row>
    <row r="123" spans="1:10">
      <c r="A123" s="3" t="s">
        <v>297</v>
      </c>
      <c r="B123" s="3" t="s">
        <v>298</v>
      </c>
      <c r="C123" s="3" t="s">
        <v>38</v>
      </c>
      <c r="D123" s="3" t="s">
        <v>19</v>
      </c>
      <c r="E123" s="3" t="s">
        <v>30</v>
      </c>
      <c r="F123" s="4">
        <v>854206.62</v>
      </c>
      <c r="G123" s="4" t="s">
        <v>45</v>
      </c>
      <c r="H123" s="4">
        <v>5949.75</v>
      </c>
      <c r="I123" s="3" t="s">
        <v>16</v>
      </c>
      <c r="J123" s="5">
        <v>45850</v>
      </c>
    </row>
    <row r="124" spans="1:10">
      <c r="A124" s="3" t="s">
        <v>299</v>
      </c>
      <c r="B124" s="3" t="s">
        <v>300</v>
      </c>
      <c r="C124" s="3" t="s">
        <v>38</v>
      </c>
      <c r="D124" s="3" t="s">
        <v>58</v>
      </c>
      <c r="E124" s="3" t="s">
        <v>20</v>
      </c>
      <c r="F124" s="4">
        <v>125221.73</v>
      </c>
      <c r="G124" s="4" t="s">
        <v>31</v>
      </c>
      <c r="H124" s="4">
        <v>6393.43</v>
      </c>
      <c r="I124" s="3" t="s">
        <v>16</v>
      </c>
      <c r="J124" s="5">
        <v>45834</v>
      </c>
    </row>
    <row r="125" spans="1:10">
      <c r="A125" s="3" t="s">
        <v>301</v>
      </c>
      <c r="B125" s="3" t="s">
        <v>302</v>
      </c>
      <c r="C125" s="3" t="s">
        <v>12</v>
      </c>
      <c r="D125" s="3" t="s">
        <v>65</v>
      </c>
      <c r="E125" s="3" t="s">
        <v>20</v>
      </c>
      <c r="F125" s="4">
        <v>512143.07</v>
      </c>
      <c r="G125" s="4" t="s">
        <v>81</v>
      </c>
      <c r="H125" s="4">
        <v>6003.52</v>
      </c>
      <c r="I125" s="3" t="s">
        <v>16</v>
      </c>
      <c r="J125" s="5">
        <v>46004</v>
      </c>
    </row>
    <row r="126" spans="1:10">
      <c r="A126" s="3" t="s">
        <v>303</v>
      </c>
      <c r="B126" s="3" t="s">
        <v>304</v>
      </c>
      <c r="C126" s="3" t="s">
        <v>34</v>
      </c>
      <c r="D126" s="3" t="s">
        <v>305</v>
      </c>
      <c r="E126" s="3" t="s">
        <v>20</v>
      </c>
      <c r="F126" s="4">
        <v>291415.21999999997</v>
      </c>
      <c r="G126" s="4" t="s">
        <v>81</v>
      </c>
      <c r="H126" s="4">
        <v>3975.57</v>
      </c>
      <c r="I126" s="3" t="s">
        <v>16</v>
      </c>
      <c r="J126" s="5">
        <v>46016</v>
      </c>
    </row>
    <row r="127" spans="1:10">
      <c r="A127" s="3" t="s">
        <v>306</v>
      </c>
      <c r="B127" s="3" t="s">
        <v>307</v>
      </c>
      <c r="C127" s="3"/>
      <c r="D127" s="3" t="s">
        <v>87</v>
      </c>
      <c r="E127" s="3" t="s">
        <v>30</v>
      </c>
      <c r="F127" s="4">
        <v>892962.02</v>
      </c>
      <c r="G127" s="4" t="s">
        <v>21</v>
      </c>
      <c r="H127" s="4">
        <v>3831.48</v>
      </c>
      <c r="I127" s="3" t="s">
        <v>16</v>
      </c>
      <c r="J127" s="5">
        <v>45994</v>
      </c>
    </row>
    <row r="128" spans="1:10">
      <c r="A128" s="3" t="s">
        <v>308</v>
      </c>
      <c r="B128" s="3" t="s">
        <v>309</v>
      </c>
      <c r="C128" s="3" t="s">
        <v>12</v>
      </c>
      <c r="D128" s="3" t="s">
        <v>100</v>
      </c>
      <c r="E128" s="3" t="s">
        <v>14</v>
      </c>
      <c r="F128" s="4">
        <v>363589.86</v>
      </c>
      <c r="G128" s="4" t="s">
        <v>81</v>
      </c>
      <c r="H128" s="4">
        <v>2517.48</v>
      </c>
      <c r="I128" s="3" t="s">
        <v>41</v>
      </c>
      <c r="J128" s="5">
        <v>45854</v>
      </c>
    </row>
    <row r="129" spans="1:10">
      <c r="A129" s="3" t="s">
        <v>310</v>
      </c>
      <c r="B129" s="3" t="s">
        <v>311</v>
      </c>
      <c r="C129" s="3" t="s">
        <v>49</v>
      </c>
      <c r="D129" s="3" t="s">
        <v>29</v>
      </c>
      <c r="E129" s="3" t="s">
        <v>14</v>
      </c>
      <c r="F129" s="4">
        <v>497074.54</v>
      </c>
      <c r="G129" s="4" t="s">
        <v>76</v>
      </c>
      <c r="H129" s="4">
        <v>5752.18</v>
      </c>
      <c r="I129" s="3" t="s">
        <v>16</v>
      </c>
      <c r="J129" s="5">
        <v>46043</v>
      </c>
    </row>
    <row r="130" spans="1:10">
      <c r="A130" s="3" t="s">
        <v>312</v>
      </c>
      <c r="B130" s="3" t="s">
        <v>313</v>
      </c>
      <c r="C130" s="3" t="s">
        <v>49</v>
      </c>
      <c r="D130" s="3" t="s">
        <v>87</v>
      </c>
      <c r="E130" s="3" t="s">
        <v>14</v>
      </c>
      <c r="F130" s="4">
        <v>693488.36</v>
      </c>
      <c r="G130" s="4" t="s">
        <v>76</v>
      </c>
      <c r="H130" s="4">
        <v>4542</v>
      </c>
      <c r="I130" s="3" t="s">
        <v>16</v>
      </c>
      <c r="J130" s="5">
        <v>46112</v>
      </c>
    </row>
    <row r="131" spans="1:10">
      <c r="A131" s="3" t="s">
        <v>314</v>
      </c>
      <c r="B131" s="3" t="s">
        <v>315</v>
      </c>
      <c r="C131" s="3" t="s">
        <v>49</v>
      </c>
      <c r="D131" s="3" t="s">
        <v>19</v>
      </c>
      <c r="E131" s="3" t="s">
        <v>14</v>
      </c>
      <c r="F131" s="4">
        <v>-25000.5</v>
      </c>
      <c r="G131" s="4" t="s">
        <v>45</v>
      </c>
      <c r="H131" s="4">
        <v>5919.04</v>
      </c>
      <c r="I131" s="3" t="s">
        <v>16</v>
      </c>
      <c r="J131" s="5">
        <v>46242</v>
      </c>
    </row>
    <row r="132" spans="1:10">
      <c r="A132" s="3" t="s">
        <v>316</v>
      </c>
      <c r="B132" s="3" t="s">
        <v>317</v>
      </c>
      <c r="C132" s="3" t="s">
        <v>24</v>
      </c>
      <c r="D132" s="3" t="s">
        <v>100</v>
      </c>
      <c r="E132" s="3" t="s">
        <v>20</v>
      </c>
      <c r="F132" s="4">
        <v>918966.7</v>
      </c>
      <c r="G132" s="4" t="s">
        <v>40</v>
      </c>
      <c r="H132" s="4">
        <v>1287.31</v>
      </c>
      <c r="I132" s="3" t="s">
        <v>16</v>
      </c>
      <c r="J132" s="5">
        <v>46150</v>
      </c>
    </row>
    <row r="133" spans="1:10">
      <c r="A133" s="3" t="s">
        <v>318</v>
      </c>
      <c r="B133" s="3" t="s">
        <v>319</v>
      </c>
      <c r="C133" s="3" t="s">
        <v>12</v>
      </c>
      <c r="D133" s="3" t="s">
        <v>19</v>
      </c>
      <c r="E133" s="3" t="s">
        <v>14</v>
      </c>
      <c r="F133" s="4">
        <v>292257.96999999997</v>
      </c>
      <c r="G133" s="4" t="s">
        <v>81</v>
      </c>
      <c r="H133" s="4">
        <v>5927.1</v>
      </c>
      <c r="I133" s="3" t="s">
        <v>16</v>
      </c>
      <c r="J133" s="5">
        <v>46105</v>
      </c>
    </row>
    <row r="134" spans="1:10">
      <c r="A134" s="3" t="s">
        <v>320</v>
      </c>
      <c r="B134" s="3" t="s">
        <v>321</v>
      </c>
      <c r="C134" s="3" t="s">
        <v>28</v>
      </c>
      <c r="D134" s="3" t="s">
        <v>68</v>
      </c>
      <c r="E134" s="3" t="s">
        <v>20</v>
      </c>
      <c r="F134" s="4">
        <v>78996.34</v>
      </c>
      <c r="G134" s="4" t="s">
        <v>31</v>
      </c>
      <c r="H134" s="4">
        <v>1876.46</v>
      </c>
      <c r="I134" s="3" t="s">
        <v>46</v>
      </c>
      <c r="J134" s="5">
        <v>46041</v>
      </c>
    </row>
    <row r="135" spans="1:10">
      <c r="A135" s="3" t="s">
        <v>322</v>
      </c>
      <c r="B135" s="3" t="s">
        <v>323</v>
      </c>
      <c r="C135" s="3" t="s">
        <v>24</v>
      </c>
      <c r="D135" s="3" t="s">
        <v>29</v>
      </c>
      <c r="E135" s="3" t="s">
        <v>30</v>
      </c>
      <c r="F135" s="4">
        <v>338467.13</v>
      </c>
      <c r="G135" s="4" t="s">
        <v>173</v>
      </c>
      <c r="H135" s="4">
        <v>6000.25</v>
      </c>
      <c r="I135" s="3" t="s">
        <v>16</v>
      </c>
      <c r="J135" s="5">
        <v>45800</v>
      </c>
    </row>
    <row r="136" spans="1:10">
      <c r="A136" s="3" t="s">
        <v>324</v>
      </c>
      <c r="B136" s="3" t="s">
        <v>325</v>
      </c>
      <c r="C136" s="3" t="s">
        <v>38</v>
      </c>
      <c r="D136" s="3" t="s">
        <v>53</v>
      </c>
      <c r="E136" s="3" t="s">
        <v>14</v>
      </c>
      <c r="F136" s="4">
        <v>265450.01</v>
      </c>
      <c r="G136" s="4"/>
      <c r="H136" s="4">
        <v>4849.7700000000004</v>
      </c>
      <c r="I136" s="3" t="s">
        <v>16</v>
      </c>
      <c r="J136" s="5">
        <v>45771</v>
      </c>
    </row>
    <row r="137" spans="1:10">
      <c r="A137" s="3" t="s">
        <v>326</v>
      </c>
      <c r="B137" s="3" t="s">
        <v>327</v>
      </c>
      <c r="C137" s="3" t="s">
        <v>24</v>
      </c>
      <c r="D137" s="3" t="s">
        <v>328</v>
      </c>
      <c r="E137" s="3" t="s">
        <v>30</v>
      </c>
      <c r="F137" s="4">
        <v>760387.18</v>
      </c>
      <c r="G137" s="4" t="s">
        <v>45</v>
      </c>
      <c r="H137" s="4">
        <v>829.98</v>
      </c>
      <c r="I137" s="3" t="s">
        <v>41</v>
      </c>
      <c r="J137" s="5">
        <v>46169</v>
      </c>
    </row>
    <row r="138" spans="1:10">
      <c r="A138" s="3" t="s">
        <v>329</v>
      </c>
      <c r="B138" s="3" t="s">
        <v>330</v>
      </c>
      <c r="C138" s="3" t="s">
        <v>12</v>
      </c>
      <c r="D138" s="3" t="s">
        <v>58</v>
      </c>
      <c r="E138" s="3" t="s">
        <v>14</v>
      </c>
      <c r="F138" s="4">
        <v>595624.81999999995</v>
      </c>
      <c r="G138" s="4" t="s">
        <v>40</v>
      </c>
      <c r="H138" s="4">
        <v>1583.25</v>
      </c>
      <c r="I138" s="3" t="s">
        <v>16</v>
      </c>
      <c r="J138" s="5">
        <v>46194</v>
      </c>
    </row>
    <row r="139" spans="1:10">
      <c r="A139" s="3" t="s">
        <v>331</v>
      </c>
      <c r="B139" s="3" t="s">
        <v>332</v>
      </c>
      <c r="C139" s="3" t="s">
        <v>38</v>
      </c>
      <c r="D139" s="3" t="s">
        <v>19</v>
      </c>
      <c r="E139" s="3" t="s">
        <v>30</v>
      </c>
      <c r="F139" s="4">
        <v>753499.35</v>
      </c>
      <c r="G139" s="4" t="s">
        <v>76</v>
      </c>
      <c r="H139" s="4">
        <v>3294.32</v>
      </c>
      <c r="I139" s="3" t="s">
        <v>16</v>
      </c>
      <c r="J139" s="5">
        <v>46040</v>
      </c>
    </row>
    <row r="140" spans="1:10">
      <c r="A140" s="3" t="s">
        <v>333</v>
      </c>
      <c r="B140" s="3" t="s">
        <v>334</v>
      </c>
      <c r="C140" s="3" t="s">
        <v>24</v>
      </c>
      <c r="D140" s="3" t="s">
        <v>29</v>
      </c>
      <c r="E140" s="3" t="s">
        <v>30</v>
      </c>
      <c r="F140" s="4">
        <v>634536.05000000005</v>
      </c>
      <c r="G140" s="4" t="s">
        <v>15</v>
      </c>
      <c r="H140" s="4">
        <v>4897.88</v>
      </c>
      <c r="I140" s="3" t="s">
        <v>16</v>
      </c>
      <c r="J140" s="5">
        <v>45703</v>
      </c>
    </row>
    <row r="141" spans="1:10">
      <c r="A141" s="3" t="s">
        <v>335</v>
      </c>
      <c r="B141" s="3" t="s">
        <v>336</v>
      </c>
      <c r="C141" s="3" t="s">
        <v>12</v>
      </c>
      <c r="D141" s="3" t="s">
        <v>58</v>
      </c>
      <c r="E141" s="3" t="s">
        <v>30</v>
      </c>
      <c r="F141" s="4">
        <v>457453.07</v>
      </c>
      <c r="G141" s="4" t="s">
        <v>45</v>
      </c>
      <c r="H141" s="4">
        <v>4272</v>
      </c>
      <c r="I141" s="3" t="s">
        <v>41</v>
      </c>
      <c r="J141" s="5">
        <v>45722</v>
      </c>
    </row>
    <row r="142" spans="1:10">
      <c r="A142" s="3" t="s">
        <v>337</v>
      </c>
      <c r="B142" s="3" t="s">
        <v>338</v>
      </c>
      <c r="C142" s="3" t="s">
        <v>24</v>
      </c>
      <c r="D142" s="3" t="s">
        <v>122</v>
      </c>
      <c r="E142" s="3" t="s">
        <v>14</v>
      </c>
      <c r="F142" s="4">
        <v>320348.15000000002</v>
      </c>
      <c r="G142" s="4" t="s">
        <v>21</v>
      </c>
      <c r="H142" s="4">
        <v>3568.07</v>
      </c>
      <c r="I142" s="3" t="s">
        <v>46</v>
      </c>
      <c r="J142" s="5">
        <v>46214</v>
      </c>
    </row>
    <row r="143" spans="1:10">
      <c r="A143" s="3" t="s">
        <v>339</v>
      </c>
      <c r="B143" s="3" t="s">
        <v>340</v>
      </c>
      <c r="C143" s="3" t="s">
        <v>34</v>
      </c>
      <c r="D143" s="3" t="s">
        <v>35</v>
      </c>
      <c r="E143" s="3" t="s">
        <v>14</v>
      </c>
      <c r="F143" s="4">
        <v>826534.41</v>
      </c>
      <c r="G143" s="4" t="s">
        <v>31</v>
      </c>
      <c r="H143" s="4">
        <v>2102.96</v>
      </c>
      <c r="I143" s="3" t="s">
        <v>341</v>
      </c>
      <c r="J143" s="5">
        <v>46105</v>
      </c>
    </row>
    <row r="144" spans="1:10">
      <c r="A144" s="3" t="s">
        <v>342</v>
      </c>
      <c r="B144" s="3" t="s">
        <v>343</v>
      </c>
      <c r="C144" s="3" t="s">
        <v>28</v>
      </c>
      <c r="D144" s="3" t="s">
        <v>68</v>
      </c>
      <c r="E144" s="3" t="s">
        <v>20</v>
      </c>
      <c r="F144" s="4">
        <v>666703.01</v>
      </c>
      <c r="G144" s="4" t="s">
        <v>31</v>
      </c>
      <c r="H144" s="4">
        <v>6042.08</v>
      </c>
      <c r="I144" s="3" t="s">
        <v>16</v>
      </c>
      <c r="J144" s="5">
        <v>45742</v>
      </c>
    </row>
    <row r="145" spans="1:10">
      <c r="A145" s="3" t="s">
        <v>344</v>
      </c>
      <c r="B145" s="3" t="s">
        <v>345</v>
      </c>
      <c r="C145" s="3" t="s">
        <v>28</v>
      </c>
      <c r="D145" s="3" t="s">
        <v>87</v>
      </c>
      <c r="E145" s="3" t="s">
        <v>14</v>
      </c>
      <c r="F145" s="4">
        <v>531836.44999999995</v>
      </c>
      <c r="G145" s="4" t="s">
        <v>31</v>
      </c>
      <c r="H145" s="4">
        <v>1070.72</v>
      </c>
      <c r="I145" s="3" t="s">
        <v>16</v>
      </c>
      <c r="J145" s="5">
        <v>45960</v>
      </c>
    </row>
    <row r="146" spans="1:10">
      <c r="A146" s="3" t="s">
        <v>346</v>
      </c>
      <c r="B146" s="3" t="s">
        <v>347</v>
      </c>
      <c r="C146" s="3" t="s">
        <v>38</v>
      </c>
      <c r="D146" s="3" t="s">
        <v>348</v>
      </c>
      <c r="E146" s="3" t="s">
        <v>20</v>
      </c>
      <c r="F146" s="4">
        <v>441359.29</v>
      </c>
      <c r="G146" s="4" t="s">
        <v>31</v>
      </c>
      <c r="H146" s="4">
        <v>4169.8500000000004</v>
      </c>
      <c r="I146" s="3" t="s">
        <v>16</v>
      </c>
      <c r="J146" s="5">
        <v>45716</v>
      </c>
    </row>
    <row r="147" spans="1:10">
      <c r="A147" s="3" t="s">
        <v>349</v>
      </c>
      <c r="B147" s="3" t="s">
        <v>350</v>
      </c>
      <c r="C147" s="3" t="s">
        <v>24</v>
      </c>
      <c r="D147" s="3" t="s">
        <v>19</v>
      </c>
      <c r="E147" s="3" t="s">
        <v>30</v>
      </c>
      <c r="F147" s="4">
        <v>655057.76</v>
      </c>
      <c r="G147" s="4" t="s">
        <v>76</v>
      </c>
      <c r="H147" s="4">
        <v>4552.4399999999996</v>
      </c>
      <c r="I147" s="3" t="s">
        <v>16</v>
      </c>
      <c r="J147" s="5">
        <v>45787</v>
      </c>
    </row>
    <row r="148" spans="1:10">
      <c r="A148" s="3" t="s">
        <v>351</v>
      </c>
      <c r="B148" s="3" t="s">
        <v>352</v>
      </c>
      <c r="C148" s="3" t="s">
        <v>12</v>
      </c>
      <c r="D148" s="3" t="s">
        <v>68</v>
      </c>
      <c r="E148" s="3" t="s">
        <v>30</v>
      </c>
      <c r="F148" s="4">
        <v>59794.5</v>
      </c>
      <c r="G148" s="4" t="s">
        <v>81</v>
      </c>
      <c r="H148" s="4">
        <v>6190.38</v>
      </c>
      <c r="I148" s="3" t="s">
        <v>16</v>
      </c>
      <c r="J148" s="5">
        <v>45736</v>
      </c>
    </row>
    <row r="149" spans="1:10">
      <c r="A149" s="3" t="s">
        <v>353</v>
      </c>
      <c r="B149" s="3" t="s">
        <v>354</v>
      </c>
      <c r="C149" s="3" t="s">
        <v>28</v>
      </c>
      <c r="D149" s="3" t="s">
        <v>68</v>
      </c>
      <c r="E149" s="3" t="s">
        <v>14</v>
      </c>
      <c r="F149" s="4">
        <v>913678.45</v>
      </c>
      <c r="G149" s="4" t="s">
        <v>76</v>
      </c>
      <c r="H149" s="4">
        <v>3469.22</v>
      </c>
      <c r="I149" s="3" t="s">
        <v>16</v>
      </c>
      <c r="J149" s="5">
        <v>46233</v>
      </c>
    </row>
    <row r="150" spans="1:10">
      <c r="A150" s="3" t="s">
        <v>355</v>
      </c>
      <c r="B150" s="3" t="s">
        <v>356</v>
      </c>
      <c r="C150" s="3" t="s">
        <v>24</v>
      </c>
      <c r="D150" s="3" t="s">
        <v>65</v>
      </c>
      <c r="E150" s="3" t="s">
        <v>14</v>
      </c>
      <c r="F150" s="4">
        <v>946655.9</v>
      </c>
      <c r="G150" s="4" t="s">
        <v>21</v>
      </c>
      <c r="H150" s="4">
        <v>4648.58</v>
      </c>
      <c r="I150" s="3" t="s">
        <v>46</v>
      </c>
      <c r="J150" s="5">
        <v>45862</v>
      </c>
    </row>
    <row r="151" spans="1:10">
      <c r="A151" s="3"/>
      <c r="B151" s="3" t="s">
        <v>357</v>
      </c>
      <c r="C151" s="3" t="s">
        <v>34</v>
      </c>
      <c r="D151" s="3" t="s">
        <v>65</v>
      </c>
      <c r="E151" s="3" t="s">
        <v>14</v>
      </c>
      <c r="F151" s="4">
        <v>856784.71</v>
      </c>
      <c r="G151" s="4" t="s">
        <v>45</v>
      </c>
      <c r="H151" s="4">
        <v>6483.44</v>
      </c>
      <c r="I151" s="3" t="s">
        <v>41</v>
      </c>
      <c r="J151" s="5">
        <v>45985</v>
      </c>
    </row>
    <row r="152" spans="1:10">
      <c r="A152" s="3" t="s">
        <v>358</v>
      </c>
      <c r="B152" s="3" t="s">
        <v>359</v>
      </c>
      <c r="C152" s="3" t="s">
        <v>38</v>
      </c>
      <c r="D152" s="3" t="s">
        <v>19</v>
      </c>
      <c r="E152" s="3" t="s">
        <v>20</v>
      </c>
      <c r="F152" s="4">
        <v>850025.15</v>
      </c>
      <c r="G152" s="4" t="s">
        <v>81</v>
      </c>
      <c r="H152" s="4">
        <v>6060.31</v>
      </c>
      <c r="I152" s="3" t="s">
        <v>16</v>
      </c>
      <c r="J152" s="5">
        <v>46028</v>
      </c>
    </row>
    <row r="153" spans="1:10">
      <c r="A153" s="3" t="s">
        <v>360</v>
      </c>
      <c r="B153" s="3" t="s">
        <v>361</v>
      </c>
      <c r="C153" s="3" t="s">
        <v>49</v>
      </c>
      <c r="D153" s="3" t="s">
        <v>58</v>
      </c>
      <c r="E153" s="3" t="s">
        <v>20</v>
      </c>
      <c r="F153" s="4">
        <v>54181.3</v>
      </c>
      <c r="G153" s="4" t="s">
        <v>31</v>
      </c>
      <c r="H153" s="4">
        <v>3277.81</v>
      </c>
      <c r="I153" s="3" t="s">
        <v>46</v>
      </c>
      <c r="J153" s="5">
        <v>45790</v>
      </c>
    </row>
    <row r="154" spans="1:10">
      <c r="A154" s="3" t="s">
        <v>362</v>
      </c>
      <c r="B154" s="3" t="s">
        <v>363</v>
      </c>
      <c r="C154" s="3" t="s">
        <v>24</v>
      </c>
      <c r="D154" s="3" t="s">
        <v>100</v>
      </c>
      <c r="E154" s="3" t="s">
        <v>30</v>
      </c>
      <c r="F154" s="4">
        <v>470371.9</v>
      </c>
      <c r="G154" s="4" t="s">
        <v>50</v>
      </c>
      <c r="H154" s="4">
        <v>5103.45</v>
      </c>
      <c r="I154" s="3" t="s">
        <v>41</v>
      </c>
      <c r="J154" s="5">
        <v>45733</v>
      </c>
    </row>
    <row r="155" spans="1:10">
      <c r="A155" s="3" t="s">
        <v>364</v>
      </c>
      <c r="B155" s="3" t="s">
        <v>365</v>
      </c>
      <c r="C155" s="3" t="s">
        <v>12</v>
      </c>
      <c r="D155" s="3" t="s">
        <v>29</v>
      </c>
      <c r="E155" s="3" t="s">
        <v>30</v>
      </c>
      <c r="F155" s="4">
        <v>505971.21</v>
      </c>
      <c r="G155" s="4" t="s">
        <v>81</v>
      </c>
      <c r="H155" s="4">
        <v>5170.59</v>
      </c>
      <c r="I155" s="3" t="s">
        <v>16</v>
      </c>
      <c r="J155" s="5">
        <v>45844</v>
      </c>
    </row>
    <row r="156" spans="1:10">
      <c r="A156" s="3" t="s">
        <v>366</v>
      </c>
      <c r="B156" s="3" t="s">
        <v>367</v>
      </c>
      <c r="C156" s="3" t="s">
        <v>38</v>
      </c>
      <c r="D156" s="3" t="s">
        <v>53</v>
      </c>
      <c r="E156" s="3" t="s">
        <v>30</v>
      </c>
      <c r="F156" s="4">
        <v>170774.23</v>
      </c>
      <c r="G156" s="4" t="s">
        <v>84</v>
      </c>
      <c r="H156" s="4">
        <v>2543.44</v>
      </c>
      <c r="I156" s="3" t="s">
        <v>46</v>
      </c>
      <c r="J156" s="5">
        <v>45948</v>
      </c>
    </row>
    <row r="157" spans="1:10">
      <c r="A157" s="3" t="s">
        <v>368</v>
      </c>
      <c r="B157" s="3" t="s">
        <v>369</v>
      </c>
      <c r="C157" s="3" t="s">
        <v>49</v>
      </c>
      <c r="D157" s="3" t="s">
        <v>19</v>
      </c>
      <c r="E157" s="3" t="s">
        <v>20</v>
      </c>
      <c r="F157" s="4">
        <v>145156.67000000001</v>
      </c>
      <c r="G157" s="4" t="s">
        <v>21</v>
      </c>
      <c r="H157" s="4">
        <v>4167.29</v>
      </c>
      <c r="I157" s="3" t="s">
        <v>16</v>
      </c>
      <c r="J157" s="5" t="s">
        <v>370</v>
      </c>
    </row>
    <row r="158" spans="1:10">
      <c r="A158" s="3" t="s">
        <v>371</v>
      </c>
      <c r="B158" s="3" t="s">
        <v>372</v>
      </c>
      <c r="C158" s="3" t="s">
        <v>12</v>
      </c>
      <c r="D158" s="3" t="s">
        <v>87</v>
      </c>
      <c r="E158" s="3" t="s">
        <v>30</v>
      </c>
      <c r="F158" s="4">
        <v>859840.82</v>
      </c>
      <c r="G158" s="4" t="s">
        <v>31</v>
      </c>
      <c r="H158" s="4">
        <v>5547.31</v>
      </c>
      <c r="I158" s="3" t="s">
        <v>16</v>
      </c>
      <c r="J158" s="5">
        <v>45687</v>
      </c>
    </row>
    <row r="159" spans="1:10">
      <c r="A159" s="3" t="s">
        <v>373</v>
      </c>
      <c r="B159" s="3" t="s">
        <v>374</v>
      </c>
      <c r="C159" s="3" t="s">
        <v>12</v>
      </c>
      <c r="D159" s="3" t="s">
        <v>87</v>
      </c>
      <c r="E159" s="3" t="s">
        <v>20</v>
      </c>
      <c r="F159" s="4">
        <v>629039.57999999996</v>
      </c>
      <c r="G159" s="4" t="s">
        <v>50</v>
      </c>
      <c r="H159" s="4">
        <v>4189.5600000000004</v>
      </c>
      <c r="I159" s="3" t="s">
        <v>16</v>
      </c>
      <c r="J159" s="5">
        <v>46216</v>
      </c>
    </row>
    <row r="160" spans="1:10">
      <c r="A160" s="3" t="s">
        <v>375</v>
      </c>
      <c r="B160" s="3" t="s">
        <v>376</v>
      </c>
      <c r="C160" s="3" t="s">
        <v>28</v>
      </c>
      <c r="D160" s="3" t="s">
        <v>35</v>
      </c>
      <c r="E160" s="3" t="s">
        <v>30</v>
      </c>
      <c r="F160" s="4">
        <v>403605.12</v>
      </c>
      <c r="G160" s="4" t="s">
        <v>45</v>
      </c>
      <c r="H160" s="4">
        <v>891.49</v>
      </c>
      <c r="I160" s="3" t="s">
        <v>16</v>
      </c>
      <c r="J160" s="5">
        <v>46108</v>
      </c>
    </row>
    <row r="161" spans="1:10">
      <c r="A161" s="3" t="s">
        <v>377</v>
      </c>
      <c r="B161" s="3" t="s">
        <v>378</v>
      </c>
      <c r="C161" s="3" t="s">
        <v>28</v>
      </c>
      <c r="D161" s="3" t="s">
        <v>35</v>
      </c>
      <c r="E161" s="3" t="s">
        <v>14</v>
      </c>
      <c r="F161" s="4">
        <v>317575.90000000002</v>
      </c>
      <c r="G161" s="4" t="s">
        <v>31</v>
      </c>
      <c r="H161" s="4">
        <v>4891.91</v>
      </c>
      <c r="I161" s="3" t="s">
        <v>41</v>
      </c>
      <c r="J161" s="5">
        <v>46066</v>
      </c>
    </row>
    <row r="162" spans="1:10">
      <c r="A162" s="3" t="s">
        <v>200</v>
      </c>
      <c r="B162" s="3" t="s">
        <v>379</v>
      </c>
      <c r="C162" s="3" t="s">
        <v>38</v>
      </c>
      <c r="D162" s="3" t="s">
        <v>19</v>
      </c>
      <c r="E162" s="3" t="s">
        <v>14</v>
      </c>
      <c r="F162" s="4">
        <v>323586.62</v>
      </c>
      <c r="G162" s="4" t="s">
        <v>45</v>
      </c>
      <c r="H162" s="4">
        <v>1191.26</v>
      </c>
      <c r="I162" s="3" t="s">
        <v>16</v>
      </c>
      <c r="J162" s="5">
        <v>45802</v>
      </c>
    </row>
    <row r="163" spans="1:10">
      <c r="A163" s="3" t="s">
        <v>380</v>
      </c>
      <c r="B163" s="3" t="s">
        <v>381</v>
      </c>
      <c r="C163" s="3" t="s">
        <v>24</v>
      </c>
      <c r="D163" s="3" t="s">
        <v>100</v>
      </c>
      <c r="E163" s="3" t="s">
        <v>20</v>
      </c>
      <c r="F163" s="4">
        <v>258408.66</v>
      </c>
      <c r="G163" s="4" t="s">
        <v>81</v>
      </c>
      <c r="H163" s="4">
        <v>6099.2</v>
      </c>
      <c r="I163" s="3" t="s">
        <v>41</v>
      </c>
      <c r="J163" s="5">
        <v>45852</v>
      </c>
    </row>
    <row r="164" spans="1:10">
      <c r="A164" s="3" t="s">
        <v>382</v>
      </c>
      <c r="B164" s="3" t="s">
        <v>383</v>
      </c>
      <c r="C164" s="3" t="s">
        <v>38</v>
      </c>
      <c r="D164" s="3" t="s">
        <v>65</v>
      </c>
      <c r="E164" s="3" t="s">
        <v>20</v>
      </c>
      <c r="F164" s="4">
        <v>838749.61</v>
      </c>
      <c r="G164" s="4" t="s">
        <v>45</v>
      </c>
      <c r="H164" s="4">
        <v>590.22</v>
      </c>
      <c r="I164" s="3" t="s">
        <v>46</v>
      </c>
      <c r="J164" s="5">
        <v>46175</v>
      </c>
    </row>
    <row r="165" spans="1:10">
      <c r="A165" s="3" t="s">
        <v>384</v>
      </c>
      <c r="B165" s="3" t="s">
        <v>385</v>
      </c>
      <c r="C165" s="3" t="s">
        <v>49</v>
      </c>
      <c r="D165" s="3" t="s">
        <v>87</v>
      </c>
      <c r="E165" s="3" t="s">
        <v>20</v>
      </c>
      <c r="F165" s="4">
        <v>74765.48</v>
      </c>
      <c r="G165" s="4" t="s">
        <v>21</v>
      </c>
      <c r="H165" s="4">
        <v>3444.11</v>
      </c>
      <c r="I165" s="3" t="s">
        <v>41</v>
      </c>
      <c r="J165" s="5">
        <v>46139</v>
      </c>
    </row>
    <row r="166" spans="1:10">
      <c r="A166" s="3" t="s">
        <v>386</v>
      </c>
      <c r="B166" s="3" t="s">
        <v>387</v>
      </c>
      <c r="C166" s="3" t="s">
        <v>34</v>
      </c>
      <c r="D166" s="3" t="s">
        <v>348</v>
      </c>
      <c r="E166" s="3" t="s">
        <v>30</v>
      </c>
      <c r="F166" s="4">
        <v>366515.43</v>
      </c>
      <c r="G166" s="4" t="s">
        <v>50</v>
      </c>
      <c r="H166" s="4">
        <v>2663.92</v>
      </c>
      <c r="I166" s="3" t="s">
        <v>16</v>
      </c>
      <c r="J166" s="5">
        <v>46241</v>
      </c>
    </row>
    <row r="167" spans="1:10">
      <c r="A167" s="3" t="s">
        <v>388</v>
      </c>
      <c r="B167" s="3" t="s">
        <v>389</v>
      </c>
      <c r="C167" s="3" t="s">
        <v>38</v>
      </c>
      <c r="D167" s="3" t="s">
        <v>44</v>
      </c>
      <c r="E167" s="3" t="s">
        <v>20</v>
      </c>
      <c r="F167" s="4">
        <v>733251.79</v>
      </c>
      <c r="G167" s="4" t="s">
        <v>21</v>
      </c>
      <c r="H167" s="4">
        <v>5443.13</v>
      </c>
      <c r="I167" s="3" t="s">
        <v>16</v>
      </c>
      <c r="J167" s="5">
        <v>45779</v>
      </c>
    </row>
    <row r="168" spans="1:10">
      <c r="A168" s="3" t="s">
        <v>390</v>
      </c>
      <c r="B168" s="3" t="s">
        <v>391</v>
      </c>
      <c r="C168" s="3" t="s">
        <v>28</v>
      </c>
      <c r="D168" s="3" t="s">
        <v>68</v>
      </c>
      <c r="E168" s="3" t="s">
        <v>20</v>
      </c>
      <c r="F168" s="4">
        <v>543205.29</v>
      </c>
      <c r="G168" s="4" t="s">
        <v>31</v>
      </c>
      <c r="H168" s="4">
        <v>5017.54</v>
      </c>
      <c r="I168" s="3" t="s">
        <v>16</v>
      </c>
      <c r="J168" s="5">
        <v>46179</v>
      </c>
    </row>
    <row r="169" spans="1:10">
      <c r="A169" s="3" t="s">
        <v>392</v>
      </c>
      <c r="B169" s="3" t="s">
        <v>393</v>
      </c>
      <c r="C169" s="3" t="s">
        <v>34</v>
      </c>
      <c r="D169" s="3" t="s">
        <v>252</v>
      </c>
      <c r="E169" s="3" t="s">
        <v>20</v>
      </c>
      <c r="F169" s="4">
        <v>507786.09</v>
      </c>
      <c r="G169" s="4" t="s">
        <v>81</v>
      </c>
      <c r="H169" s="4">
        <v>3568.81</v>
      </c>
      <c r="I169" s="3" t="s">
        <v>16</v>
      </c>
      <c r="J169" s="5">
        <v>45984</v>
      </c>
    </row>
    <row r="170" spans="1:10">
      <c r="A170" s="3" t="s">
        <v>394</v>
      </c>
      <c r="B170" s="3" t="s">
        <v>395</v>
      </c>
      <c r="C170" s="3" t="s">
        <v>38</v>
      </c>
      <c r="D170" s="3" t="s">
        <v>13</v>
      </c>
      <c r="E170" s="3" t="s">
        <v>30</v>
      </c>
      <c r="F170" s="4">
        <v>792026.24</v>
      </c>
      <c r="G170" s="4" t="s">
        <v>45</v>
      </c>
      <c r="H170" s="4">
        <v>4737.88</v>
      </c>
      <c r="I170" s="3" t="s">
        <v>16</v>
      </c>
      <c r="J170" s="5">
        <v>45675</v>
      </c>
    </row>
    <row r="171" spans="1:10">
      <c r="A171" s="3" t="s">
        <v>396</v>
      </c>
      <c r="B171" s="3" t="s">
        <v>397</v>
      </c>
      <c r="C171" s="3" t="s">
        <v>12</v>
      </c>
      <c r="D171" s="3" t="s">
        <v>29</v>
      </c>
      <c r="E171" s="3" t="s">
        <v>30</v>
      </c>
      <c r="F171" s="4">
        <v>313063.61</v>
      </c>
      <c r="G171" s="4" t="s">
        <v>76</v>
      </c>
      <c r="H171" s="4">
        <v>2056.46</v>
      </c>
      <c r="I171" s="3" t="s">
        <v>16</v>
      </c>
      <c r="J171" s="5">
        <v>46250</v>
      </c>
    </row>
    <row r="172" spans="1:10">
      <c r="A172" s="3" t="s">
        <v>398</v>
      </c>
      <c r="B172" s="3" t="s">
        <v>399</v>
      </c>
      <c r="C172" s="3" t="s">
        <v>38</v>
      </c>
      <c r="D172" s="3" t="s">
        <v>65</v>
      </c>
      <c r="E172" s="3" t="s">
        <v>14</v>
      </c>
      <c r="F172" s="4">
        <v>512293.75</v>
      </c>
      <c r="G172" s="4" t="s">
        <v>50</v>
      </c>
      <c r="H172" s="4">
        <v>1344.04</v>
      </c>
      <c r="I172" s="3" t="s">
        <v>16</v>
      </c>
      <c r="J172" s="5">
        <v>45690</v>
      </c>
    </row>
    <row r="173" spans="1:10">
      <c r="A173" s="3" t="s">
        <v>400</v>
      </c>
      <c r="B173" s="3" t="s">
        <v>401</v>
      </c>
      <c r="C173" s="3" t="s">
        <v>34</v>
      </c>
      <c r="D173" s="3" t="s">
        <v>65</v>
      </c>
      <c r="E173" s="3" t="s">
        <v>20</v>
      </c>
      <c r="F173" s="4">
        <v>415277.87</v>
      </c>
      <c r="G173" s="4" t="s">
        <v>50</v>
      </c>
      <c r="H173" s="4">
        <v>4627.53</v>
      </c>
      <c r="I173" s="3" t="s">
        <v>16</v>
      </c>
      <c r="J173" s="5">
        <v>46140</v>
      </c>
    </row>
    <row r="174" spans="1:10">
      <c r="A174" s="3" t="s">
        <v>402</v>
      </c>
      <c r="B174" s="3" t="s">
        <v>403</v>
      </c>
      <c r="C174" s="3" t="s">
        <v>38</v>
      </c>
      <c r="D174" s="3" t="s">
        <v>35</v>
      </c>
      <c r="E174" s="3" t="s">
        <v>30</v>
      </c>
      <c r="F174" s="4">
        <v>470101.3</v>
      </c>
      <c r="G174" s="4" t="s">
        <v>50</v>
      </c>
      <c r="H174" s="4">
        <v>2348.1999999999998</v>
      </c>
      <c r="I174" s="3" t="s">
        <v>16</v>
      </c>
      <c r="J174" s="5">
        <v>46203</v>
      </c>
    </row>
    <row r="175" spans="1:10">
      <c r="A175" s="3" t="s">
        <v>404</v>
      </c>
      <c r="B175" s="3" t="s">
        <v>405</v>
      </c>
      <c r="C175" s="3" t="s">
        <v>12</v>
      </c>
      <c r="D175" s="3" t="s">
        <v>13</v>
      </c>
      <c r="E175" s="3" t="s">
        <v>406</v>
      </c>
      <c r="F175" s="4">
        <v>910750.4</v>
      </c>
      <c r="G175" s="4" t="s">
        <v>21</v>
      </c>
      <c r="H175" s="4">
        <v>3826.42</v>
      </c>
      <c r="I175" s="3" t="s">
        <v>16</v>
      </c>
      <c r="J175" s="5">
        <v>45962</v>
      </c>
    </row>
    <row r="176" spans="1:10">
      <c r="A176" s="3" t="s">
        <v>407</v>
      </c>
      <c r="B176" s="3" t="s">
        <v>408</v>
      </c>
      <c r="C176" s="3" t="s">
        <v>12</v>
      </c>
      <c r="D176" s="3" t="s">
        <v>65</v>
      </c>
      <c r="E176" s="3" t="s">
        <v>20</v>
      </c>
      <c r="F176" s="4">
        <v>471419.15</v>
      </c>
      <c r="G176" s="4" t="s">
        <v>21</v>
      </c>
      <c r="H176" s="4">
        <v>2191.13</v>
      </c>
      <c r="I176" s="3" t="s">
        <v>16</v>
      </c>
      <c r="J176" s="5">
        <v>46214</v>
      </c>
    </row>
    <row r="177" spans="1:10">
      <c r="A177" s="3" t="s">
        <v>409</v>
      </c>
      <c r="B177" s="3" t="s">
        <v>410</v>
      </c>
      <c r="C177" s="3" t="s">
        <v>24</v>
      </c>
      <c r="D177" s="3" t="s">
        <v>58</v>
      </c>
      <c r="E177" s="3" t="s">
        <v>20</v>
      </c>
      <c r="F177" s="4">
        <v>908888.62</v>
      </c>
      <c r="G177" s="4" t="s">
        <v>15</v>
      </c>
      <c r="H177" s="4">
        <v>3126.38</v>
      </c>
      <c r="I177" s="3" t="s">
        <v>16</v>
      </c>
      <c r="J177" s="5">
        <v>46148</v>
      </c>
    </row>
    <row r="178" spans="1:10">
      <c r="A178" s="3" t="s">
        <v>411</v>
      </c>
      <c r="B178" s="3" t="s">
        <v>412</v>
      </c>
      <c r="C178" s="3" t="s">
        <v>38</v>
      </c>
      <c r="D178" s="3" t="s">
        <v>13</v>
      </c>
      <c r="E178" s="3" t="s">
        <v>30</v>
      </c>
      <c r="F178" s="4">
        <v>279891.75</v>
      </c>
      <c r="G178" s="4" t="s">
        <v>15</v>
      </c>
      <c r="H178" s="4">
        <v>4000.32</v>
      </c>
      <c r="I178" s="3" t="s">
        <v>16</v>
      </c>
      <c r="J178" s="5">
        <v>46201</v>
      </c>
    </row>
    <row r="179" spans="1:10">
      <c r="A179" s="3" t="s">
        <v>413</v>
      </c>
      <c r="B179" s="3" t="s">
        <v>414</v>
      </c>
      <c r="C179" s="3" t="s">
        <v>34</v>
      </c>
      <c r="D179" s="3" t="s">
        <v>29</v>
      </c>
      <c r="E179" s="3" t="s">
        <v>30</v>
      </c>
      <c r="F179" s="4">
        <v>464611.59</v>
      </c>
      <c r="G179" s="4" t="s">
        <v>84</v>
      </c>
      <c r="H179" s="4">
        <v>2911.79</v>
      </c>
      <c r="I179" s="3" t="s">
        <v>46</v>
      </c>
      <c r="J179" s="5">
        <v>46145</v>
      </c>
    </row>
    <row r="180" spans="1:10">
      <c r="A180" s="3" t="s">
        <v>415</v>
      </c>
      <c r="B180" s="3" t="s">
        <v>416</v>
      </c>
      <c r="C180" s="3" t="s">
        <v>24</v>
      </c>
      <c r="D180" s="3" t="s">
        <v>68</v>
      </c>
      <c r="E180" s="3" t="s">
        <v>14</v>
      </c>
      <c r="F180" s="4">
        <v>865302</v>
      </c>
      <c r="G180" s="4" t="s">
        <v>15</v>
      </c>
      <c r="H180" s="4">
        <v>1854.93</v>
      </c>
      <c r="I180" s="3" t="s">
        <v>41</v>
      </c>
      <c r="J180" s="5">
        <v>45696</v>
      </c>
    </row>
    <row r="181" spans="1:10">
      <c r="A181" s="3" t="s">
        <v>417</v>
      </c>
      <c r="B181" s="3" t="s">
        <v>418</v>
      </c>
      <c r="C181" s="3" t="s">
        <v>49</v>
      </c>
      <c r="D181" s="3" t="s">
        <v>53</v>
      </c>
      <c r="E181" s="3" t="s">
        <v>20</v>
      </c>
      <c r="F181" s="4">
        <v>754923.78</v>
      </c>
      <c r="G181" s="4" t="s">
        <v>81</v>
      </c>
      <c r="H181" s="4">
        <v>6270.89</v>
      </c>
      <c r="I181" s="3" t="s">
        <v>46</v>
      </c>
      <c r="J181" s="5">
        <v>45696</v>
      </c>
    </row>
    <row r="182" spans="1:10">
      <c r="A182" s="3" t="s">
        <v>419</v>
      </c>
      <c r="B182" s="3" t="s">
        <v>420</v>
      </c>
      <c r="C182" s="3" t="s">
        <v>38</v>
      </c>
      <c r="D182" s="3" t="s">
        <v>87</v>
      </c>
      <c r="E182" s="3" t="s">
        <v>14</v>
      </c>
      <c r="F182" s="4">
        <v>884178.46</v>
      </c>
      <c r="G182" s="4" t="s">
        <v>31</v>
      </c>
      <c r="H182" s="4">
        <v>2171.6</v>
      </c>
      <c r="I182" s="3" t="s">
        <v>46</v>
      </c>
      <c r="J182" s="5">
        <v>46214</v>
      </c>
    </row>
    <row r="183" spans="1:10">
      <c r="A183" s="3" t="s">
        <v>421</v>
      </c>
      <c r="B183" s="3" t="s">
        <v>422</v>
      </c>
      <c r="C183" s="3" t="s">
        <v>38</v>
      </c>
      <c r="D183" s="3" t="s">
        <v>65</v>
      </c>
      <c r="E183" s="3" t="s">
        <v>20</v>
      </c>
      <c r="F183" s="4">
        <v>207386.49</v>
      </c>
      <c r="G183" s="4" t="s">
        <v>15</v>
      </c>
      <c r="H183" s="4">
        <v>4873.2700000000004</v>
      </c>
      <c r="I183" s="3" t="s">
        <v>16</v>
      </c>
      <c r="J183" s="5">
        <v>45848</v>
      </c>
    </row>
    <row r="184" spans="1:10">
      <c r="A184" s="3" t="s">
        <v>423</v>
      </c>
      <c r="B184" s="3" t="s">
        <v>424</v>
      </c>
      <c r="C184" s="3" t="s">
        <v>24</v>
      </c>
      <c r="D184" s="3" t="s">
        <v>87</v>
      </c>
      <c r="E184" s="3" t="s">
        <v>30</v>
      </c>
      <c r="F184" s="4">
        <v>726700.13</v>
      </c>
      <c r="G184" s="4" t="s">
        <v>81</v>
      </c>
      <c r="H184" s="4">
        <v>4314.29</v>
      </c>
      <c r="I184" s="3" t="s">
        <v>16</v>
      </c>
      <c r="J184" s="5">
        <v>46095</v>
      </c>
    </row>
    <row r="185" spans="1:10">
      <c r="A185" s="3" t="s">
        <v>425</v>
      </c>
      <c r="B185" s="3" t="s">
        <v>426</v>
      </c>
      <c r="C185" s="3" t="s">
        <v>28</v>
      </c>
      <c r="D185" s="3" t="s">
        <v>178</v>
      </c>
      <c r="E185" s="3" t="s">
        <v>20</v>
      </c>
      <c r="F185" s="4">
        <v>327713.53999999998</v>
      </c>
      <c r="G185" s="4" t="s">
        <v>427</v>
      </c>
      <c r="H185" s="4">
        <v>1874.9</v>
      </c>
      <c r="I185" s="3" t="s">
        <v>41</v>
      </c>
      <c r="J185" s="5">
        <v>45995</v>
      </c>
    </row>
    <row r="186" spans="1:10">
      <c r="A186" s="3" t="s">
        <v>428</v>
      </c>
      <c r="B186" s="3" t="s">
        <v>429</v>
      </c>
      <c r="C186" s="3" t="s">
        <v>24</v>
      </c>
      <c r="D186" s="3" t="s">
        <v>68</v>
      </c>
      <c r="E186" s="3" t="s">
        <v>14</v>
      </c>
      <c r="F186" s="4">
        <v>644363.23</v>
      </c>
      <c r="G186" s="4" t="s">
        <v>45</v>
      </c>
      <c r="H186" s="4">
        <v>2306.1799999999998</v>
      </c>
      <c r="I186" s="3" t="s">
        <v>16</v>
      </c>
      <c r="J186" s="5">
        <v>46172</v>
      </c>
    </row>
    <row r="187" spans="1:10">
      <c r="A187" s="3" t="s">
        <v>430</v>
      </c>
      <c r="B187" s="3" t="s">
        <v>431</v>
      </c>
      <c r="C187" s="3" t="s">
        <v>12</v>
      </c>
      <c r="D187" s="3" t="s">
        <v>13</v>
      </c>
      <c r="E187" s="3" t="s">
        <v>14</v>
      </c>
      <c r="F187" s="4">
        <v>231598.31</v>
      </c>
      <c r="G187" s="4" t="s">
        <v>81</v>
      </c>
      <c r="H187" s="4">
        <v>3202.62</v>
      </c>
      <c r="I187" s="3" t="s">
        <v>46</v>
      </c>
      <c r="J187" s="5">
        <v>46040</v>
      </c>
    </row>
    <row r="188" spans="1:10">
      <c r="A188" s="3" t="s">
        <v>432</v>
      </c>
      <c r="B188" s="3" t="s">
        <v>433</v>
      </c>
      <c r="C188" s="3" t="s">
        <v>38</v>
      </c>
      <c r="D188" s="3" t="s">
        <v>35</v>
      </c>
      <c r="E188" s="3" t="s">
        <v>30</v>
      </c>
      <c r="F188" s="4">
        <v>724360.39</v>
      </c>
      <c r="G188" s="4" t="s">
        <v>15</v>
      </c>
      <c r="H188" s="4">
        <v>3645.45</v>
      </c>
      <c r="I188" s="3" t="s">
        <v>16</v>
      </c>
      <c r="J188" s="5">
        <v>46235</v>
      </c>
    </row>
    <row r="189" spans="1:10">
      <c r="A189" s="3" t="s">
        <v>434</v>
      </c>
      <c r="B189" s="3" t="s">
        <v>435</v>
      </c>
      <c r="C189" s="3" t="s">
        <v>38</v>
      </c>
      <c r="D189" s="3" t="s">
        <v>19</v>
      </c>
      <c r="E189" s="3" t="s">
        <v>14</v>
      </c>
      <c r="F189" s="4">
        <v>556885.54</v>
      </c>
      <c r="G189" s="4" t="s">
        <v>173</v>
      </c>
      <c r="H189" s="4">
        <v>1153.25</v>
      </c>
      <c r="I189" s="3" t="s">
        <v>16</v>
      </c>
      <c r="J189" s="5">
        <v>46255</v>
      </c>
    </row>
    <row r="190" spans="1:10">
      <c r="A190" s="3" t="s">
        <v>436</v>
      </c>
      <c r="B190" s="3" t="s">
        <v>437</v>
      </c>
      <c r="C190" s="3" t="s">
        <v>38</v>
      </c>
      <c r="D190" s="3" t="s">
        <v>65</v>
      </c>
      <c r="E190" s="3" t="s">
        <v>14</v>
      </c>
      <c r="F190" s="4">
        <v>447157.72</v>
      </c>
      <c r="G190" s="4" t="s">
        <v>50</v>
      </c>
      <c r="H190" s="4">
        <v>-3500</v>
      </c>
      <c r="I190" s="3" t="s">
        <v>16</v>
      </c>
      <c r="J190" s="5">
        <v>46131</v>
      </c>
    </row>
    <row r="191" spans="1:10">
      <c r="A191" s="3" t="s">
        <v>438</v>
      </c>
      <c r="B191" s="3" t="s">
        <v>439</v>
      </c>
      <c r="C191" s="3" t="s">
        <v>28</v>
      </c>
      <c r="D191" s="3" t="s">
        <v>13</v>
      </c>
      <c r="E191" s="3" t="s">
        <v>30</v>
      </c>
      <c r="F191" s="4">
        <v>230469.2</v>
      </c>
      <c r="G191" s="4" t="s">
        <v>183</v>
      </c>
      <c r="H191" s="4">
        <v>4687.33</v>
      </c>
      <c r="I191" s="3" t="s">
        <v>16</v>
      </c>
      <c r="J191" s="5">
        <v>45719</v>
      </c>
    </row>
    <row r="192" spans="1:10">
      <c r="A192" s="3" t="s">
        <v>440</v>
      </c>
      <c r="B192" s="3" t="s">
        <v>441</v>
      </c>
      <c r="C192" s="3" t="s">
        <v>34</v>
      </c>
      <c r="D192" s="3" t="s">
        <v>13</v>
      </c>
      <c r="E192" s="3" t="s">
        <v>14</v>
      </c>
      <c r="F192" s="4">
        <v>734561.47</v>
      </c>
      <c r="G192" s="4" t="s">
        <v>50</v>
      </c>
      <c r="H192" s="4">
        <v>2715.49</v>
      </c>
      <c r="I192" s="3" t="s">
        <v>41</v>
      </c>
      <c r="J192" s="5">
        <v>46117</v>
      </c>
    </row>
    <row r="193" spans="1:10">
      <c r="A193" s="3" t="s">
        <v>442</v>
      </c>
      <c r="B193" s="3" t="s">
        <v>443</v>
      </c>
      <c r="C193" s="3" t="s">
        <v>34</v>
      </c>
      <c r="D193" s="3" t="s">
        <v>19</v>
      </c>
      <c r="E193" s="3" t="s">
        <v>14</v>
      </c>
      <c r="F193" s="4">
        <v>631251.37</v>
      </c>
      <c r="G193" s="4" t="s">
        <v>31</v>
      </c>
      <c r="H193" s="4">
        <v>1167.73</v>
      </c>
      <c r="I193" s="3" t="s">
        <v>46</v>
      </c>
      <c r="J193" s="5">
        <v>46060</v>
      </c>
    </row>
    <row r="194" spans="1:10">
      <c r="A194" s="3" t="s">
        <v>444</v>
      </c>
      <c r="B194" s="3" t="s">
        <v>445</v>
      </c>
      <c r="C194" s="3" t="s">
        <v>34</v>
      </c>
      <c r="D194" s="3" t="s">
        <v>53</v>
      </c>
      <c r="E194" s="3" t="s">
        <v>20</v>
      </c>
      <c r="F194" s="4">
        <v>649619.87</v>
      </c>
      <c r="G194" s="4" t="s">
        <v>50</v>
      </c>
      <c r="H194" s="4">
        <v>3668.2</v>
      </c>
      <c r="I194" s="3" t="s">
        <v>41</v>
      </c>
      <c r="J194" s="5">
        <v>45911</v>
      </c>
    </row>
    <row r="195" spans="1:10">
      <c r="A195" s="3" t="s">
        <v>446</v>
      </c>
      <c r="B195" s="3" t="s">
        <v>447</v>
      </c>
      <c r="C195" s="3" t="s">
        <v>49</v>
      </c>
      <c r="D195" s="3" t="s">
        <v>44</v>
      </c>
      <c r="E195" s="3" t="s">
        <v>14</v>
      </c>
      <c r="F195" s="4">
        <v>59639.93</v>
      </c>
      <c r="G195" s="4" t="s">
        <v>50</v>
      </c>
      <c r="H195" s="4">
        <v>4170.29</v>
      </c>
      <c r="I195" s="3" t="s">
        <v>46</v>
      </c>
      <c r="J195" s="5">
        <v>45674</v>
      </c>
    </row>
    <row r="196" spans="1:10">
      <c r="A196" s="3" t="s">
        <v>448</v>
      </c>
      <c r="B196" s="3" t="s">
        <v>449</v>
      </c>
      <c r="C196" s="3" t="s">
        <v>34</v>
      </c>
      <c r="D196" s="3" t="s">
        <v>29</v>
      </c>
      <c r="E196" s="3" t="s">
        <v>20</v>
      </c>
      <c r="F196" s="4">
        <v>579962.1</v>
      </c>
      <c r="G196" s="4" t="s">
        <v>76</v>
      </c>
      <c r="H196" s="4">
        <v>717.63</v>
      </c>
      <c r="I196" s="3" t="s">
        <v>450</v>
      </c>
      <c r="J196" s="5">
        <v>46210</v>
      </c>
    </row>
    <row r="197" spans="1:10">
      <c r="A197" s="3" t="s">
        <v>451</v>
      </c>
      <c r="B197" s="3" t="s">
        <v>452</v>
      </c>
      <c r="C197" s="3" t="s">
        <v>49</v>
      </c>
      <c r="D197" s="3" t="s">
        <v>19</v>
      </c>
      <c r="E197" s="3" t="s">
        <v>20</v>
      </c>
      <c r="F197" s="4">
        <v>245428.6</v>
      </c>
      <c r="G197" s="4" t="s">
        <v>31</v>
      </c>
      <c r="H197" s="4">
        <v>3943.72</v>
      </c>
      <c r="I197" s="3" t="s">
        <v>41</v>
      </c>
      <c r="J197" s="5">
        <v>45986</v>
      </c>
    </row>
    <row r="198" spans="1:10">
      <c r="A198" s="3" t="s">
        <v>453</v>
      </c>
      <c r="B198" s="3" t="s">
        <v>454</v>
      </c>
      <c r="C198" s="3" t="s">
        <v>49</v>
      </c>
      <c r="D198" s="3" t="s">
        <v>19</v>
      </c>
      <c r="E198" s="3" t="s">
        <v>14</v>
      </c>
      <c r="F198" s="4">
        <v>410475.39</v>
      </c>
      <c r="G198" s="4" t="s">
        <v>21</v>
      </c>
      <c r="H198" s="4">
        <v>818.79</v>
      </c>
      <c r="I198" s="3" t="s">
        <v>46</v>
      </c>
      <c r="J198" s="5">
        <v>45837</v>
      </c>
    </row>
    <row r="199" spans="1:10">
      <c r="A199" s="3" t="s">
        <v>455</v>
      </c>
      <c r="B199" s="3" t="s">
        <v>456</v>
      </c>
      <c r="C199" s="3" t="s">
        <v>34</v>
      </c>
      <c r="D199" s="3" t="s">
        <v>68</v>
      </c>
      <c r="E199" s="3" t="s">
        <v>30</v>
      </c>
      <c r="F199" s="4">
        <v>380662.26</v>
      </c>
      <c r="G199" s="4" t="s">
        <v>31</v>
      </c>
      <c r="H199" s="4">
        <v>4662.67</v>
      </c>
      <c r="I199" s="3" t="s">
        <v>16</v>
      </c>
      <c r="J199" s="5">
        <v>45965</v>
      </c>
    </row>
    <row r="200" spans="1:10">
      <c r="A200" s="3" t="s">
        <v>457</v>
      </c>
      <c r="B200" s="3" t="s">
        <v>458</v>
      </c>
      <c r="C200" s="3" t="s">
        <v>38</v>
      </c>
      <c r="D200" s="3" t="s">
        <v>65</v>
      </c>
      <c r="E200" s="3" t="s">
        <v>14</v>
      </c>
      <c r="F200" s="4">
        <v>811393.66</v>
      </c>
      <c r="G200" s="4" t="s">
        <v>21</v>
      </c>
      <c r="H200" s="4">
        <v>5638.12</v>
      </c>
      <c r="I200" s="3" t="s">
        <v>16</v>
      </c>
      <c r="J200" s="5">
        <v>46132</v>
      </c>
    </row>
    <row r="201" spans="1:10">
      <c r="A201" s="3" t="s">
        <v>459</v>
      </c>
      <c r="B201" s="3" t="s">
        <v>460</v>
      </c>
      <c r="C201" s="3" t="s">
        <v>28</v>
      </c>
      <c r="D201" s="3" t="s">
        <v>19</v>
      </c>
      <c r="E201" s="3" t="s">
        <v>30</v>
      </c>
      <c r="F201" s="4">
        <v>153365.32999999999</v>
      </c>
      <c r="G201" s="4" t="s">
        <v>40</v>
      </c>
      <c r="H201" s="4">
        <v>2448.09</v>
      </c>
      <c r="I201" s="3" t="s">
        <v>16</v>
      </c>
      <c r="J201" s="5">
        <v>46118</v>
      </c>
    </row>
    <row r="202" spans="1:10">
      <c r="A202" s="3" t="s">
        <v>461</v>
      </c>
      <c r="B202" s="3" t="s">
        <v>462</v>
      </c>
      <c r="C202" s="3" t="s">
        <v>38</v>
      </c>
      <c r="D202" s="3" t="s">
        <v>39</v>
      </c>
      <c r="E202" s="3" t="s">
        <v>30</v>
      </c>
      <c r="F202" s="4">
        <v>586571.89</v>
      </c>
      <c r="G202" s="4" t="s">
        <v>76</v>
      </c>
      <c r="H202" s="4">
        <v>1588.39</v>
      </c>
      <c r="I202" s="3" t="s">
        <v>41</v>
      </c>
      <c r="J202" s="5">
        <v>46230</v>
      </c>
    </row>
    <row r="203" spans="1:10">
      <c r="A203" s="3" t="s">
        <v>463</v>
      </c>
      <c r="B203" s="3" t="s">
        <v>464</v>
      </c>
      <c r="C203" s="3" t="s">
        <v>49</v>
      </c>
      <c r="D203" s="3" t="s">
        <v>68</v>
      </c>
      <c r="E203" s="3" t="s">
        <v>14</v>
      </c>
      <c r="F203" s="4">
        <v>224863.15</v>
      </c>
      <c r="G203" s="4" t="s">
        <v>40</v>
      </c>
      <c r="H203" s="4">
        <v>1159.76</v>
      </c>
      <c r="I203" s="3" t="s">
        <v>46</v>
      </c>
      <c r="J203" s="5">
        <v>46148</v>
      </c>
    </row>
    <row r="204" spans="1:10">
      <c r="A204" s="3" t="s">
        <v>465</v>
      </c>
      <c r="B204" s="3" t="s">
        <v>466</v>
      </c>
      <c r="C204" s="3" t="s">
        <v>28</v>
      </c>
      <c r="D204" s="3" t="s">
        <v>35</v>
      </c>
      <c r="E204" s="3" t="s">
        <v>20</v>
      </c>
      <c r="F204" s="4">
        <v>380208.8</v>
      </c>
      <c r="G204" s="4" t="s">
        <v>31</v>
      </c>
      <c r="H204" s="4">
        <v>2315.9499999999998</v>
      </c>
      <c r="I204" s="3" t="s">
        <v>16</v>
      </c>
      <c r="J204" s="5">
        <v>46167</v>
      </c>
    </row>
    <row r="205" spans="1:10">
      <c r="A205" s="3" t="s">
        <v>467</v>
      </c>
      <c r="B205" s="3" t="s">
        <v>468</v>
      </c>
      <c r="C205" s="3" t="s">
        <v>12</v>
      </c>
      <c r="D205" s="3" t="s">
        <v>65</v>
      </c>
      <c r="E205" s="3" t="s">
        <v>20</v>
      </c>
      <c r="F205" s="4">
        <v>871184.06</v>
      </c>
      <c r="G205" s="4" t="s">
        <v>31</v>
      </c>
      <c r="H205" s="4">
        <v>2343.1799999999998</v>
      </c>
      <c r="I205" s="3" t="s">
        <v>16</v>
      </c>
      <c r="J205" s="5">
        <v>45884</v>
      </c>
    </row>
    <row r="206" spans="1:10">
      <c r="A206" s="3" t="s">
        <v>469</v>
      </c>
      <c r="B206" s="3" t="s">
        <v>470</v>
      </c>
      <c r="C206" s="3" t="s">
        <v>24</v>
      </c>
      <c r="D206" s="3" t="s">
        <v>19</v>
      </c>
      <c r="E206" s="3" t="s">
        <v>30</v>
      </c>
      <c r="F206" s="4">
        <v>562811.49</v>
      </c>
      <c r="G206" s="4" t="s">
        <v>50</v>
      </c>
      <c r="H206" s="4">
        <v>2235.91</v>
      </c>
      <c r="I206" s="3" t="s">
        <v>16</v>
      </c>
      <c r="J206" s="5">
        <v>45893</v>
      </c>
    </row>
    <row r="207" spans="1:10">
      <c r="A207" s="3" t="s">
        <v>471</v>
      </c>
      <c r="B207" s="3" t="s">
        <v>472</v>
      </c>
      <c r="C207" s="3" t="s">
        <v>28</v>
      </c>
      <c r="D207" s="3" t="s">
        <v>19</v>
      </c>
      <c r="E207" s="3" t="s">
        <v>30</v>
      </c>
      <c r="F207" s="4">
        <v>-1</v>
      </c>
      <c r="G207" s="4" t="s">
        <v>31</v>
      </c>
      <c r="H207" s="4">
        <v>2006.83</v>
      </c>
      <c r="I207" s="3" t="s">
        <v>41</v>
      </c>
      <c r="J207" s="5">
        <v>46160</v>
      </c>
    </row>
    <row r="208" spans="1:10">
      <c r="A208" s="3" t="s">
        <v>473</v>
      </c>
      <c r="B208" s="3" t="s">
        <v>474</v>
      </c>
      <c r="C208" s="3" t="s">
        <v>12</v>
      </c>
      <c r="D208" s="3" t="s">
        <v>305</v>
      </c>
      <c r="E208" s="3" t="s">
        <v>30</v>
      </c>
      <c r="F208" s="4">
        <v>479251.02</v>
      </c>
      <c r="G208" s="4" t="s">
        <v>76</v>
      </c>
      <c r="H208" s="4">
        <v>5526.36</v>
      </c>
      <c r="I208" s="3" t="s">
        <v>16</v>
      </c>
      <c r="J208" s="5">
        <v>45707</v>
      </c>
    </row>
    <row r="209" spans="1:10">
      <c r="A209" s="3" t="s">
        <v>475</v>
      </c>
      <c r="B209" s="3" t="s">
        <v>476</v>
      </c>
      <c r="C209" s="3" t="s">
        <v>49</v>
      </c>
      <c r="D209" s="3" t="s">
        <v>122</v>
      </c>
      <c r="E209" s="3" t="s">
        <v>14</v>
      </c>
      <c r="F209" s="4">
        <v>231222.1</v>
      </c>
      <c r="G209" s="4" t="s">
        <v>45</v>
      </c>
      <c r="H209" s="4">
        <v>2707.86</v>
      </c>
      <c r="I209" s="3" t="s">
        <v>16</v>
      </c>
      <c r="J209" s="5">
        <v>46152</v>
      </c>
    </row>
    <row r="210" spans="1:10">
      <c r="A210" s="3" t="s">
        <v>477</v>
      </c>
      <c r="B210" s="3" t="s">
        <v>478</v>
      </c>
      <c r="C210" s="3" t="s">
        <v>34</v>
      </c>
      <c r="D210" s="3" t="s">
        <v>19</v>
      </c>
      <c r="E210" s="3" t="s">
        <v>30</v>
      </c>
      <c r="F210" s="4">
        <v>408431.43</v>
      </c>
      <c r="G210" s="4" t="s">
        <v>76</v>
      </c>
      <c r="H210" s="4">
        <v>2112.1799999999998</v>
      </c>
      <c r="I210" s="3" t="s">
        <v>46</v>
      </c>
      <c r="J210" s="5">
        <v>45675</v>
      </c>
    </row>
    <row r="211" spans="1:10">
      <c r="A211" s="3" t="s">
        <v>479</v>
      </c>
      <c r="B211" s="3" t="s">
        <v>480</v>
      </c>
      <c r="C211" s="3" t="s">
        <v>34</v>
      </c>
      <c r="D211" s="3" t="s">
        <v>29</v>
      </c>
      <c r="E211" s="3" t="s">
        <v>14</v>
      </c>
      <c r="F211" s="4">
        <v>206577.49</v>
      </c>
      <c r="G211" s="4" t="s">
        <v>21</v>
      </c>
      <c r="H211" s="4">
        <v>5382.05</v>
      </c>
      <c r="I211" s="3" t="s">
        <v>16</v>
      </c>
      <c r="J211" s="5">
        <v>46064</v>
      </c>
    </row>
    <row r="212" spans="1:10">
      <c r="A212" s="3" t="s">
        <v>481</v>
      </c>
      <c r="B212" s="3" t="s">
        <v>482</v>
      </c>
      <c r="C212" s="3" t="s">
        <v>28</v>
      </c>
      <c r="D212" s="3" t="s">
        <v>65</v>
      </c>
      <c r="E212" s="3" t="s">
        <v>30</v>
      </c>
      <c r="F212" s="4">
        <v>253751.26</v>
      </c>
      <c r="G212" s="4" t="s">
        <v>40</v>
      </c>
      <c r="H212" s="4">
        <v>5459.78</v>
      </c>
      <c r="I212" s="3" t="s">
        <v>16</v>
      </c>
      <c r="J212" s="5">
        <v>45690</v>
      </c>
    </row>
    <row r="213" spans="1:10">
      <c r="A213" s="3" t="s">
        <v>483</v>
      </c>
      <c r="B213" s="3" t="s">
        <v>484</v>
      </c>
      <c r="C213" s="3" t="s">
        <v>28</v>
      </c>
      <c r="D213" s="3" t="s">
        <v>100</v>
      </c>
      <c r="E213" s="3" t="s">
        <v>14</v>
      </c>
      <c r="F213" s="4">
        <v>615808.23</v>
      </c>
      <c r="G213" s="4" t="s">
        <v>173</v>
      </c>
      <c r="H213" s="4">
        <v>4351.6899999999996</v>
      </c>
      <c r="I213" s="3" t="s">
        <v>16</v>
      </c>
      <c r="J213" s="5">
        <v>45755</v>
      </c>
    </row>
    <row r="214" spans="1:10">
      <c r="A214" s="3" t="s">
        <v>485</v>
      </c>
      <c r="B214" s="3" t="s">
        <v>486</v>
      </c>
      <c r="C214" s="3" t="s">
        <v>49</v>
      </c>
      <c r="D214" s="3" t="s">
        <v>87</v>
      </c>
      <c r="E214" s="3" t="s">
        <v>20</v>
      </c>
      <c r="F214" s="4">
        <v>279407.45</v>
      </c>
      <c r="G214" s="4" t="s">
        <v>15</v>
      </c>
      <c r="H214" s="4">
        <v>2146.2600000000002</v>
      </c>
      <c r="I214" s="3" t="s">
        <v>16</v>
      </c>
      <c r="J214" s="5">
        <v>45691</v>
      </c>
    </row>
    <row r="215" spans="1:10">
      <c r="A215" s="3" t="s">
        <v>487</v>
      </c>
      <c r="B215" s="3" t="s">
        <v>488</v>
      </c>
      <c r="C215" s="3" t="s">
        <v>34</v>
      </c>
      <c r="D215" s="3" t="s">
        <v>35</v>
      </c>
      <c r="E215" s="3" t="s">
        <v>30</v>
      </c>
      <c r="F215" s="4">
        <v>785230.2</v>
      </c>
      <c r="G215" s="4" t="s">
        <v>15</v>
      </c>
      <c r="H215" s="4">
        <v>3861.95</v>
      </c>
      <c r="I215" s="3" t="s">
        <v>16</v>
      </c>
      <c r="J215" s="5">
        <v>46056</v>
      </c>
    </row>
    <row r="216" spans="1:10">
      <c r="A216" s="3" t="s">
        <v>489</v>
      </c>
      <c r="B216" s="3"/>
      <c r="C216" s="3" t="s">
        <v>12</v>
      </c>
      <c r="D216" s="3" t="s">
        <v>58</v>
      </c>
      <c r="E216" s="3" t="s">
        <v>30</v>
      </c>
      <c r="F216" s="4">
        <v>696230.48</v>
      </c>
      <c r="G216" s="4" t="s">
        <v>31</v>
      </c>
      <c r="H216" s="4">
        <v>774.86</v>
      </c>
      <c r="I216" s="3" t="s">
        <v>16</v>
      </c>
      <c r="J216" s="5">
        <v>45735</v>
      </c>
    </row>
    <row r="217" spans="1:10">
      <c r="A217" s="3" t="s">
        <v>490</v>
      </c>
      <c r="B217" s="3" t="s">
        <v>491</v>
      </c>
      <c r="C217" s="3" t="s">
        <v>24</v>
      </c>
      <c r="D217" s="3" t="s">
        <v>53</v>
      </c>
      <c r="E217" s="3" t="s">
        <v>20</v>
      </c>
      <c r="F217" s="4">
        <v>481355.18</v>
      </c>
      <c r="G217" s="4" t="s">
        <v>31</v>
      </c>
      <c r="H217" s="4">
        <v>3795.88</v>
      </c>
      <c r="I217" s="3" t="s">
        <v>16</v>
      </c>
      <c r="J217" s="5">
        <v>45848</v>
      </c>
    </row>
    <row r="218" spans="1:10">
      <c r="A218" s="3" t="s">
        <v>492</v>
      </c>
      <c r="B218" s="3" t="s">
        <v>493</v>
      </c>
      <c r="C218" s="3" t="s">
        <v>38</v>
      </c>
      <c r="D218" s="3" t="s">
        <v>13</v>
      </c>
      <c r="E218" s="3" t="s">
        <v>30</v>
      </c>
      <c r="F218" s="4">
        <v>97626.15</v>
      </c>
      <c r="G218" s="4" t="s">
        <v>21</v>
      </c>
      <c r="H218" s="4">
        <v>1383.04</v>
      </c>
      <c r="I218" s="3" t="s">
        <v>16</v>
      </c>
      <c r="J218" s="5">
        <v>45815</v>
      </c>
    </row>
    <row r="219" spans="1:10">
      <c r="A219" s="3" t="s">
        <v>494</v>
      </c>
      <c r="B219" s="3" t="s">
        <v>495</v>
      </c>
      <c r="C219" s="3" t="s">
        <v>24</v>
      </c>
      <c r="D219" s="3" t="s">
        <v>496</v>
      </c>
      <c r="E219" s="3" t="s">
        <v>20</v>
      </c>
      <c r="F219" s="4">
        <v>361124.1</v>
      </c>
      <c r="G219" s="4" t="s">
        <v>21</v>
      </c>
      <c r="H219" s="4">
        <v>1068.5</v>
      </c>
      <c r="I219" s="3" t="s">
        <v>16</v>
      </c>
      <c r="J219" s="5">
        <v>46099</v>
      </c>
    </row>
    <row r="220" spans="1:10">
      <c r="A220" s="3" t="s">
        <v>497</v>
      </c>
      <c r="B220" s="3" t="s">
        <v>498</v>
      </c>
      <c r="C220" s="3" t="s">
        <v>34</v>
      </c>
      <c r="D220" s="3" t="s">
        <v>53</v>
      </c>
      <c r="E220" s="3" t="s">
        <v>14</v>
      </c>
      <c r="F220" s="4">
        <v>579170.59</v>
      </c>
      <c r="G220" s="4" t="s">
        <v>31</v>
      </c>
      <c r="H220" s="4">
        <v>5675.49</v>
      </c>
      <c r="I220" s="3" t="s">
        <v>16</v>
      </c>
      <c r="J220" s="5">
        <v>46081</v>
      </c>
    </row>
    <row r="221" spans="1:10">
      <c r="A221" s="3" t="s">
        <v>499</v>
      </c>
      <c r="B221" s="3" t="s">
        <v>500</v>
      </c>
      <c r="C221" s="3" t="s">
        <v>12</v>
      </c>
      <c r="D221" s="3" t="s">
        <v>19</v>
      </c>
      <c r="E221" s="3" t="s">
        <v>14</v>
      </c>
      <c r="F221" s="4">
        <v>556203.6</v>
      </c>
      <c r="G221" s="4" t="s">
        <v>81</v>
      </c>
      <c r="H221" s="4">
        <v>1475.49</v>
      </c>
      <c r="I221" s="3" t="s">
        <v>16</v>
      </c>
      <c r="J221" s="5">
        <v>45932</v>
      </c>
    </row>
    <row r="222" spans="1:10">
      <c r="A222" s="3" t="s">
        <v>501</v>
      </c>
      <c r="B222" s="3" t="s">
        <v>502</v>
      </c>
      <c r="C222" s="3" t="s">
        <v>34</v>
      </c>
      <c r="D222" s="3" t="s">
        <v>58</v>
      </c>
      <c r="E222" s="3" t="s">
        <v>20</v>
      </c>
      <c r="F222" s="4">
        <v>305772.07</v>
      </c>
      <c r="G222" s="4" t="s">
        <v>15</v>
      </c>
      <c r="H222" s="4">
        <v>6162.54</v>
      </c>
      <c r="I222" s="3" t="s">
        <v>41</v>
      </c>
      <c r="J222" s="5">
        <v>46165</v>
      </c>
    </row>
    <row r="223" spans="1:10">
      <c r="A223" s="3"/>
      <c r="B223" s="3" t="s">
        <v>503</v>
      </c>
      <c r="C223" s="3" t="s">
        <v>34</v>
      </c>
      <c r="D223" s="3" t="s">
        <v>58</v>
      </c>
      <c r="E223" s="3" t="s">
        <v>20</v>
      </c>
      <c r="F223" s="4">
        <v>335639.84</v>
      </c>
      <c r="G223" s="4" t="s">
        <v>50</v>
      </c>
      <c r="H223" s="4">
        <v>5314.66</v>
      </c>
      <c r="I223" s="3" t="s">
        <v>16</v>
      </c>
      <c r="J223" s="5">
        <v>46000</v>
      </c>
    </row>
    <row r="224" spans="1:10">
      <c r="A224" s="3" t="s">
        <v>504</v>
      </c>
      <c r="B224" s="3" t="s">
        <v>505</v>
      </c>
      <c r="C224" s="3" t="s">
        <v>24</v>
      </c>
      <c r="D224" s="3" t="s">
        <v>68</v>
      </c>
      <c r="E224" s="3" t="s">
        <v>30</v>
      </c>
      <c r="F224" s="4">
        <v>214783.37</v>
      </c>
      <c r="G224" s="4" t="s">
        <v>31</v>
      </c>
      <c r="H224" s="4">
        <v>1524.71</v>
      </c>
      <c r="I224" s="3" t="s">
        <v>16</v>
      </c>
      <c r="J224" s="5">
        <v>45984</v>
      </c>
    </row>
    <row r="225" spans="1:10">
      <c r="A225" s="3" t="s">
        <v>506</v>
      </c>
      <c r="B225" s="3" t="s">
        <v>507</v>
      </c>
      <c r="C225" s="3" t="s">
        <v>38</v>
      </c>
      <c r="D225" s="3" t="s">
        <v>35</v>
      </c>
      <c r="E225" s="3" t="s">
        <v>20</v>
      </c>
      <c r="F225" s="4">
        <v>781174.95</v>
      </c>
      <c r="G225" s="4" t="s">
        <v>50</v>
      </c>
      <c r="H225" s="4">
        <v>2658.34</v>
      </c>
      <c r="I225" s="3" t="s">
        <v>46</v>
      </c>
      <c r="J225" s="5">
        <v>45862</v>
      </c>
    </row>
    <row r="226" spans="1:10">
      <c r="A226" s="3" t="s">
        <v>508</v>
      </c>
      <c r="B226" s="3" t="s">
        <v>509</v>
      </c>
      <c r="C226" s="3" t="s">
        <v>12</v>
      </c>
      <c r="D226" s="3" t="s">
        <v>65</v>
      </c>
      <c r="E226" s="3" t="s">
        <v>30</v>
      </c>
      <c r="F226" s="4">
        <v>222876.52</v>
      </c>
      <c r="G226" s="4" t="s">
        <v>21</v>
      </c>
      <c r="H226" s="4">
        <v>5479.25</v>
      </c>
      <c r="I226" s="3" t="s">
        <v>16</v>
      </c>
      <c r="J226" s="5">
        <v>46076</v>
      </c>
    </row>
    <row r="227" spans="1:10">
      <c r="A227" s="3" t="s">
        <v>510</v>
      </c>
      <c r="B227" s="3" t="s">
        <v>511</v>
      </c>
      <c r="C227" s="3" t="s">
        <v>12</v>
      </c>
      <c r="D227" s="3" t="s">
        <v>13</v>
      </c>
      <c r="E227" s="3" t="s">
        <v>30</v>
      </c>
      <c r="F227" s="4">
        <v>171811.78</v>
      </c>
      <c r="G227" s="4" t="s">
        <v>50</v>
      </c>
      <c r="H227" s="4">
        <v>5223.91</v>
      </c>
      <c r="I227" s="3" t="s">
        <v>16</v>
      </c>
      <c r="J227" s="5">
        <v>46148</v>
      </c>
    </row>
    <row r="228" spans="1:10">
      <c r="A228" s="3" t="s">
        <v>512</v>
      </c>
      <c r="B228" s="3" t="s">
        <v>513</v>
      </c>
      <c r="C228" s="3" t="s">
        <v>38</v>
      </c>
      <c r="D228" s="3" t="s">
        <v>53</v>
      </c>
      <c r="E228" s="3" t="s">
        <v>20</v>
      </c>
      <c r="F228" s="4">
        <v>675503.54</v>
      </c>
      <c r="G228" s="4" t="s">
        <v>240</v>
      </c>
      <c r="H228" s="4">
        <v>4428.49</v>
      </c>
      <c r="I228" s="3" t="s">
        <v>16</v>
      </c>
      <c r="J228" s="5" t="s">
        <v>514</v>
      </c>
    </row>
    <row r="229" spans="1:10">
      <c r="A229" s="3" t="s">
        <v>515</v>
      </c>
      <c r="B229" s="3" t="s">
        <v>516</v>
      </c>
      <c r="C229" s="3" t="s">
        <v>28</v>
      </c>
      <c r="D229" s="3" t="s">
        <v>496</v>
      </c>
      <c r="E229" s="3" t="s">
        <v>14</v>
      </c>
      <c r="F229" s="4">
        <v>499822.14</v>
      </c>
      <c r="G229" s="4" t="s">
        <v>40</v>
      </c>
      <c r="H229" s="4">
        <v>2816.36</v>
      </c>
      <c r="I229" s="3" t="s">
        <v>41</v>
      </c>
      <c r="J229" s="5">
        <v>46170</v>
      </c>
    </row>
    <row r="230" spans="1:10">
      <c r="A230" s="3" t="s">
        <v>517</v>
      </c>
      <c r="B230" s="3" t="s">
        <v>518</v>
      </c>
      <c r="C230" s="3" t="s">
        <v>34</v>
      </c>
      <c r="D230" s="3" t="s">
        <v>65</v>
      </c>
      <c r="E230" s="3" t="s">
        <v>14</v>
      </c>
      <c r="F230" s="4">
        <v>301797.64</v>
      </c>
      <c r="G230" s="4" t="s">
        <v>240</v>
      </c>
      <c r="H230" s="4">
        <v>2557.39</v>
      </c>
      <c r="I230" s="3" t="s">
        <v>16</v>
      </c>
      <c r="J230" s="5">
        <v>45869</v>
      </c>
    </row>
    <row r="231" spans="1:10">
      <c r="A231" s="3" t="s">
        <v>519</v>
      </c>
      <c r="B231" s="3" t="s">
        <v>520</v>
      </c>
      <c r="C231" s="3" t="s">
        <v>28</v>
      </c>
      <c r="D231" s="3" t="s">
        <v>29</v>
      </c>
      <c r="E231" s="3" t="s">
        <v>30</v>
      </c>
      <c r="F231" s="4">
        <v>446251.42</v>
      </c>
      <c r="G231" s="4" t="s">
        <v>15</v>
      </c>
      <c r="H231" s="4">
        <v>5351.62</v>
      </c>
      <c r="I231" s="3" t="s">
        <v>16</v>
      </c>
      <c r="J231" s="5">
        <v>46009</v>
      </c>
    </row>
    <row r="232" spans="1:10">
      <c r="A232" s="3" t="s">
        <v>521</v>
      </c>
      <c r="B232" s="3" t="s">
        <v>522</v>
      </c>
      <c r="C232" s="3" t="s">
        <v>12</v>
      </c>
      <c r="D232" s="3" t="s">
        <v>35</v>
      </c>
      <c r="E232" s="3" t="s">
        <v>30</v>
      </c>
      <c r="F232" s="4">
        <v>177324.85</v>
      </c>
      <c r="G232" s="4" t="s">
        <v>50</v>
      </c>
      <c r="H232" s="4">
        <v>6248.7</v>
      </c>
      <c r="I232" s="3" t="s">
        <v>16</v>
      </c>
      <c r="J232" s="5">
        <v>46072</v>
      </c>
    </row>
    <row r="233" spans="1:10">
      <c r="A233" s="3" t="s">
        <v>523</v>
      </c>
      <c r="B233" s="3" t="s">
        <v>524</v>
      </c>
      <c r="C233" s="3" t="s">
        <v>12</v>
      </c>
      <c r="D233" s="3" t="s">
        <v>100</v>
      </c>
      <c r="E233" s="3" t="s">
        <v>30</v>
      </c>
      <c r="F233" s="4">
        <v>594978.38</v>
      </c>
      <c r="G233" s="4" t="s">
        <v>40</v>
      </c>
      <c r="H233" s="4">
        <v>3048.79</v>
      </c>
      <c r="I233" s="3" t="s">
        <v>16</v>
      </c>
      <c r="J233" s="5">
        <v>45877</v>
      </c>
    </row>
    <row r="234" spans="1:10">
      <c r="A234" s="3" t="s">
        <v>525</v>
      </c>
      <c r="B234" s="3" t="s">
        <v>526</v>
      </c>
      <c r="C234" s="3" t="s">
        <v>12</v>
      </c>
      <c r="D234" s="3" t="s">
        <v>29</v>
      </c>
      <c r="E234" s="3" t="s">
        <v>30</v>
      </c>
      <c r="F234" s="4">
        <v>202003.05</v>
      </c>
      <c r="G234" s="4" t="s">
        <v>31</v>
      </c>
      <c r="H234" s="4">
        <v>-0.01</v>
      </c>
      <c r="I234" s="3" t="s">
        <v>16</v>
      </c>
      <c r="J234" s="5">
        <v>46159</v>
      </c>
    </row>
    <row r="235" spans="1:10">
      <c r="A235" s="3" t="s">
        <v>527</v>
      </c>
      <c r="B235" s="3" t="s">
        <v>528</v>
      </c>
      <c r="C235" s="3" t="s">
        <v>38</v>
      </c>
      <c r="D235" s="3" t="s">
        <v>100</v>
      </c>
      <c r="E235" s="3" t="s">
        <v>20</v>
      </c>
      <c r="F235" s="4">
        <v>353826.13</v>
      </c>
      <c r="G235" s="4" t="s">
        <v>45</v>
      </c>
      <c r="H235" s="4">
        <v>4185.04</v>
      </c>
      <c r="I235" s="3" t="s">
        <v>41</v>
      </c>
      <c r="J235" s="5">
        <v>45962</v>
      </c>
    </row>
    <row r="236" spans="1:10">
      <c r="A236" s="3" t="s">
        <v>529</v>
      </c>
      <c r="B236" s="3" t="s">
        <v>530</v>
      </c>
      <c r="C236" s="3" t="s">
        <v>24</v>
      </c>
      <c r="D236" s="3" t="s">
        <v>29</v>
      </c>
      <c r="E236" s="3" t="s">
        <v>14</v>
      </c>
      <c r="F236" s="4">
        <v>198400.96</v>
      </c>
      <c r="G236" s="4" t="s">
        <v>81</v>
      </c>
      <c r="H236" s="4">
        <v>2980.35</v>
      </c>
      <c r="I236" s="3" t="s">
        <v>16</v>
      </c>
      <c r="J236" s="5">
        <v>46050</v>
      </c>
    </row>
    <row r="237" spans="1:10">
      <c r="A237" s="3" t="s">
        <v>531</v>
      </c>
      <c r="B237" s="3" t="s">
        <v>532</v>
      </c>
      <c r="C237" s="3" t="s">
        <v>28</v>
      </c>
      <c r="D237" s="3" t="s">
        <v>19</v>
      </c>
      <c r="E237" s="3" t="s">
        <v>30</v>
      </c>
      <c r="F237" s="4">
        <v>875628.12</v>
      </c>
      <c r="G237" s="4" t="s">
        <v>81</v>
      </c>
      <c r="H237" s="4">
        <v>3412.33</v>
      </c>
      <c r="I237" s="3" t="s">
        <v>16</v>
      </c>
      <c r="J237" s="5">
        <v>45980</v>
      </c>
    </row>
    <row r="238" spans="1:10">
      <c r="A238" s="3" t="s">
        <v>533</v>
      </c>
      <c r="B238" s="3" t="s">
        <v>534</v>
      </c>
      <c r="C238" s="3" t="s">
        <v>24</v>
      </c>
      <c r="D238" s="3" t="s">
        <v>53</v>
      </c>
      <c r="E238" s="3" t="s">
        <v>14</v>
      </c>
      <c r="F238" s="4">
        <v>779998.67</v>
      </c>
      <c r="G238" s="4" t="s">
        <v>45</v>
      </c>
      <c r="H238" s="4">
        <v>2925.26</v>
      </c>
      <c r="I238" s="3" t="s">
        <v>16</v>
      </c>
      <c r="J238" s="5">
        <v>46112</v>
      </c>
    </row>
    <row r="239" spans="1:10">
      <c r="A239" s="3" t="s">
        <v>535</v>
      </c>
      <c r="B239" s="3" t="s">
        <v>536</v>
      </c>
      <c r="C239" s="3" t="s">
        <v>34</v>
      </c>
      <c r="D239" s="3" t="s">
        <v>87</v>
      </c>
      <c r="E239" s="3" t="s">
        <v>14</v>
      </c>
      <c r="F239" s="4">
        <v>762210.42</v>
      </c>
      <c r="G239" s="4" t="s">
        <v>40</v>
      </c>
      <c r="H239" s="4">
        <v>2112.86</v>
      </c>
      <c r="I239" s="3" t="s">
        <v>16</v>
      </c>
      <c r="J239" s="5">
        <v>45830</v>
      </c>
    </row>
    <row r="240" spans="1:10">
      <c r="A240" s="3" t="s">
        <v>537</v>
      </c>
      <c r="B240" s="3" t="s">
        <v>538</v>
      </c>
      <c r="C240" s="3" t="s">
        <v>38</v>
      </c>
      <c r="D240" s="3" t="s">
        <v>19</v>
      </c>
      <c r="E240" s="3" t="s">
        <v>14</v>
      </c>
      <c r="F240" s="4">
        <v>556896.93000000005</v>
      </c>
      <c r="G240" s="4" t="s">
        <v>21</v>
      </c>
      <c r="H240" s="4">
        <v>5139.43</v>
      </c>
      <c r="I240" s="3" t="s">
        <v>41</v>
      </c>
      <c r="J240" s="5">
        <v>46033</v>
      </c>
    </row>
    <row r="241" spans="1:10">
      <c r="A241" s="3" t="s">
        <v>539</v>
      </c>
      <c r="B241" s="3" t="s">
        <v>540</v>
      </c>
      <c r="C241" s="3" t="s">
        <v>38</v>
      </c>
      <c r="D241" s="3" t="s">
        <v>35</v>
      </c>
      <c r="E241" s="3" t="s">
        <v>14</v>
      </c>
      <c r="F241" s="4">
        <v>707109.6</v>
      </c>
      <c r="G241" s="4" t="s">
        <v>40</v>
      </c>
      <c r="H241" s="4">
        <v>6495.84</v>
      </c>
      <c r="I241" s="3" t="s">
        <v>16</v>
      </c>
      <c r="J241" s="5">
        <v>46014</v>
      </c>
    </row>
    <row r="242" spans="1:10">
      <c r="A242" s="3" t="s">
        <v>541</v>
      </c>
      <c r="B242" s="3" t="s">
        <v>542</v>
      </c>
      <c r="C242" s="3" t="s">
        <v>34</v>
      </c>
      <c r="D242" s="3" t="s">
        <v>543</v>
      </c>
      <c r="E242" s="3" t="s">
        <v>30</v>
      </c>
      <c r="F242" s="4">
        <v>664002.9</v>
      </c>
      <c r="G242" s="4" t="s">
        <v>50</v>
      </c>
      <c r="H242" s="4">
        <v>1454.19</v>
      </c>
      <c r="I242" s="3" t="s">
        <v>16</v>
      </c>
      <c r="J242" s="5">
        <v>45869</v>
      </c>
    </row>
    <row r="243" spans="1:10">
      <c r="A243" s="3" t="s">
        <v>544</v>
      </c>
      <c r="B243" s="3" t="s">
        <v>545</v>
      </c>
      <c r="C243" s="3" t="s">
        <v>38</v>
      </c>
      <c r="D243" s="3" t="s">
        <v>68</v>
      </c>
      <c r="E243" s="3" t="s">
        <v>30</v>
      </c>
      <c r="F243" s="4">
        <v>525667.06000000006</v>
      </c>
      <c r="G243" s="4" t="s">
        <v>31</v>
      </c>
      <c r="H243" s="4">
        <v>6372.95</v>
      </c>
      <c r="I243" s="3" t="s">
        <v>16</v>
      </c>
      <c r="J243" s="5">
        <v>46244</v>
      </c>
    </row>
    <row r="244" spans="1:10">
      <c r="A244" s="3" t="s">
        <v>546</v>
      </c>
      <c r="B244" s="3" t="s">
        <v>547</v>
      </c>
      <c r="C244" s="3" t="s">
        <v>49</v>
      </c>
      <c r="D244" s="3" t="s">
        <v>100</v>
      </c>
      <c r="E244" s="3" t="s">
        <v>20</v>
      </c>
      <c r="F244" s="4">
        <v>827683.78</v>
      </c>
      <c r="G244" s="4" t="s">
        <v>81</v>
      </c>
      <c r="H244" s="4">
        <v>1252.78</v>
      </c>
      <c r="I244" s="3" t="s">
        <v>16</v>
      </c>
      <c r="J244" s="5">
        <v>45987</v>
      </c>
    </row>
    <row r="245" spans="1:10">
      <c r="A245" s="3" t="s">
        <v>548</v>
      </c>
      <c r="B245" s="3" t="s">
        <v>549</v>
      </c>
      <c r="C245" s="3" t="s">
        <v>28</v>
      </c>
      <c r="D245" s="3" t="s">
        <v>58</v>
      </c>
      <c r="E245" s="3" t="s">
        <v>20</v>
      </c>
      <c r="F245" s="4">
        <v>607587.80000000005</v>
      </c>
      <c r="G245" s="4" t="s">
        <v>50</v>
      </c>
      <c r="H245" s="4">
        <v>3184.55</v>
      </c>
      <c r="I245" s="3" t="s">
        <v>16</v>
      </c>
      <c r="J245" s="5">
        <v>45753</v>
      </c>
    </row>
    <row r="246" spans="1:10">
      <c r="A246" s="3" t="s">
        <v>295</v>
      </c>
      <c r="B246" s="3" t="s">
        <v>550</v>
      </c>
      <c r="C246" s="3" t="s">
        <v>12</v>
      </c>
      <c r="D246" s="3" t="s">
        <v>68</v>
      </c>
      <c r="E246" s="3" t="s">
        <v>20</v>
      </c>
      <c r="F246" s="4">
        <v>331106.14</v>
      </c>
      <c r="G246" s="4" t="s">
        <v>76</v>
      </c>
      <c r="H246" s="4">
        <v>5575.36</v>
      </c>
      <c r="I246" s="3" t="s">
        <v>16</v>
      </c>
      <c r="J246" s="5">
        <v>46127</v>
      </c>
    </row>
    <row r="247" spans="1:10">
      <c r="A247" s="3" t="s">
        <v>551</v>
      </c>
      <c r="B247" s="3" t="s">
        <v>552</v>
      </c>
      <c r="C247" s="3" t="s">
        <v>38</v>
      </c>
      <c r="D247" s="3" t="s">
        <v>348</v>
      </c>
      <c r="E247" s="3" t="s">
        <v>14</v>
      </c>
      <c r="F247" s="4">
        <v>485137.75</v>
      </c>
      <c r="G247" s="4" t="s">
        <v>31</v>
      </c>
      <c r="H247" s="4">
        <v>5461.48</v>
      </c>
      <c r="I247" s="3" t="s">
        <v>16</v>
      </c>
      <c r="J247" s="5">
        <v>46249</v>
      </c>
    </row>
    <row r="248" spans="1:10">
      <c r="A248" s="3" t="s">
        <v>553</v>
      </c>
      <c r="B248" s="3" t="s">
        <v>554</v>
      </c>
      <c r="C248" s="3" t="s">
        <v>24</v>
      </c>
      <c r="D248" s="3" t="s">
        <v>53</v>
      </c>
      <c r="E248" s="3" t="s">
        <v>20</v>
      </c>
      <c r="F248" s="4">
        <v>44978.84</v>
      </c>
      <c r="G248" s="4" t="s">
        <v>81</v>
      </c>
      <c r="H248" s="4">
        <v>454.09</v>
      </c>
      <c r="I248" s="3" t="s">
        <v>46</v>
      </c>
      <c r="J248" s="5">
        <v>45865</v>
      </c>
    </row>
    <row r="249" spans="1:10">
      <c r="A249" s="3" t="s">
        <v>555</v>
      </c>
      <c r="B249" s="3" t="s">
        <v>556</v>
      </c>
      <c r="C249" s="3" t="s">
        <v>49</v>
      </c>
      <c r="D249" s="3" t="s">
        <v>112</v>
      </c>
      <c r="E249" s="3" t="s">
        <v>20</v>
      </c>
      <c r="F249" s="4">
        <v>105826.89</v>
      </c>
      <c r="G249" s="4" t="s">
        <v>173</v>
      </c>
      <c r="H249" s="4">
        <v>4842.2299999999996</v>
      </c>
      <c r="I249" s="3" t="s">
        <v>41</v>
      </c>
      <c r="J249" s="5">
        <v>46097</v>
      </c>
    </row>
    <row r="250" spans="1:10">
      <c r="A250" s="3" t="s">
        <v>557</v>
      </c>
      <c r="B250" s="3" t="s">
        <v>558</v>
      </c>
      <c r="C250" s="3"/>
      <c r="D250" s="3" t="s">
        <v>35</v>
      </c>
      <c r="E250" s="3" t="s">
        <v>14</v>
      </c>
      <c r="F250" s="4">
        <v>576185.14</v>
      </c>
      <c r="G250" s="4" t="s">
        <v>45</v>
      </c>
      <c r="H250" s="4">
        <v>506.19</v>
      </c>
      <c r="I250" s="3" t="s">
        <v>16</v>
      </c>
      <c r="J250" s="5">
        <v>45781</v>
      </c>
    </row>
    <row r="251" spans="1:10">
      <c r="A251" s="3" t="s">
        <v>559</v>
      </c>
      <c r="B251" s="3" t="s">
        <v>560</v>
      </c>
      <c r="C251" s="3" t="s">
        <v>28</v>
      </c>
      <c r="D251" s="3" t="s">
        <v>29</v>
      </c>
      <c r="E251" s="3" t="s">
        <v>14</v>
      </c>
      <c r="F251" s="4">
        <v>702302.31</v>
      </c>
      <c r="G251" s="4" t="s">
        <v>183</v>
      </c>
      <c r="H251" s="4">
        <v>5779.98</v>
      </c>
      <c r="I251" s="3" t="s">
        <v>16</v>
      </c>
      <c r="J251" s="5">
        <v>45794</v>
      </c>
    </row>
    <row r="252" spans="1:10">
      <c r="A252" s="3" t="s">
        <v>561</v>
      </c>
      <c r="B252" s="3" t="s">
        <v>562</v>
      </c>
      <c r="C252" s="3" t="s">
        <v>38</v>
      </c>
      <c r="D252" s="3" t="s">
        <v>87</v>
      </c>
      <c r="E252" s="3" t="s">
        <v>14</v>
      </c>
      <c r="F252" s="4">
        <v>591493.69999999995</v>
      </c>
      <c r="G252" s="4" t="s">
        <v>81</v>
      </c>
      <c r="H252" s="4">
        <v>4820.71</v>
      </c>
      <c r="I252" s="3" t="s">
        <v>16</v>
      </c>
      <c r="J252" s="5">
        <v>45813</v>
      </c>
    </row>
    <row r="253" spans="1:10">
      <c r="A253" s="3" t="s">
        <v>563</v>
      </c>
      <c r="B253" s="3" t="s">
        <v>564</v>
      </c>
      <c r="C253" s="3" t="s">
        <v>49</v>
      </c>
      <c r="D253" s="3" t="s">
        <v>29</v>
      </c>
      <c r="E253" s="3" t="s">
        <v>14</v>
      </c>
      <c r="F253" s="4">
        <v>722249.99</v>
      </c>
      <c r="G253" s="4" t="s">
        <v>50</v>
      </c>
      <c r="H253" s="4">
        <v>2576.79</v>
      </c>
      <c r="I253" s="3" t="s">
        <v>16</v>
      </c>
      <c r="J253" s="5">
        <v>45801</v>
      </c>
    </row>
    <row r="254" spans="1:10">
      <c r="A254" s="3" t="s">
        <v>565</v>
      </c>
      <c r="B254" s="3" t="s">
        <v>566</v>
      </c>
      <c r="C254" s="3" t="s">
        <v>12</v>
      </c>
      <c r="D254" s="3" t="s">
        <v>29</v>
      </c>
      <c r="E254" s="3" t="s">
        <v>30</v>
      </c>
      <c r="F254" s="4">
        <v>582007.24</v>
      </c>
      <c r="G254" s="4" t="s">
        <v>21</v>
      </c>
      <c r="H254" s="4">
        <v>5162.7700000000004</v>
      </c>
      <c r="I254" s="3" t="s">
        <v>16</v>
      </c>
      <c r="J254" s="5">
        <v>45966</v>
      </c>
    </row>
    <row r="255" spans="1:10">
      <c r="A255" s="3" t="s">
        <v>567</v>
      </c>
      <c r="B255" s="3" t="s">
        <v>568</v>
      </c>
      <c r="C255" s="3" t="s">
        <v>12</v>
      </c>
      <c r="D255" s="3" t="s">
        <v>100</v>
      </c>
      <c r="E255" s="3" t="s">
        <v>14</v>
      </c>
      <c r="F255" s="4">
        <v>751097.47</v>
      </c>
      <c r="G255" s="4" t="s">
        <v>40</v>
      </c>
      <c r="H255" s="4">
        <v>1132.0999999999999</v>
      </c>
      <c r="I255" s="3" t="s">
        <v>16</v>
      </c>
      <c r="J255" s="5">
        <v>45730</v>
      </c>
    </row>
    <row r="256" spans="1:10">
      <c r="A256" s="3" t="s">
        <v>569</v>
      </c>
      <c r="B256" s="3" t="s">
        <v>570</v>
      </c>
      <c r="C256" s="3" t="s">
        <v>24</v>
      </c>
      <c r="D256" s="3" t="s">
        <v>58</v>
      </c>
      <c r="E256" s="3" t="s">
        <v>30</v>
      </c>
      <c r="F256" s="4">
        <v>417194.45</v>
      </c>
      <c r="G256" s="4" t="s">
        <v>81</v>
      </c>
      <c r="H256" s="4">
        <v>6224.44</v>
      </c>
      <c r="I256" s="3" t="s">
        <v>41</v>
      </c>
      <c r="J256" s="5">
        <v>45675</v>
      </c>
    </row>
    <row r="257" spans="1:10">
      <c r="A257" s="3" t="s">
        <v>571</v>
      </c>
      <c r="B257" s="3" t="s">
        <v>572</v>
      </c>
      <c r="C257" s="3" t="s">
        <v>24</v>
      </c>
      <c r="D257" s="3" t="s">
        <v>122</v>
      </c>
      <c r="E257" s="3" t="s">
        <v>20</v>
      </c>
      <c r="F257" s="4">
        <v>496081.76</v>
      </c>
      <c r="G257" s="4" t="s">
        <v>50</v>
      </c>
      <c r="H257" s="4">
        <v>3012.63</v>
      </c>
      <c r="I257" s="3" t="s">
        <v>16</v>
      </c>
      <c r="J257" s="5">
        <v>46207</v>
      </c>
    </row>
    <row r="258" spans="1:10">
      <c r="A258" s="3" t="s">
        <v>573</v>
      </c>
      <c r="B258" s="3" t="s">
        <v>574</v>
      </c>
      <c r="C258" s="3" t="s">
        <v>34</v>
      </c>
      <c r="D258" s="3" t="s">
        <v>147</v>
      </c>
      <c r="E258" s="3" t="s">
        <v>14</v>
      </c>
      <c r="F258" s="4">
        <v>523478.96</v>
      </c>
      <c r="G258" s="4" t="s">
        <v>50</v>
      </c>
      <c r="H258" s="4">
        <v>3997.94</v>
      </c>
      <c r="I258" s="3" t="s">
        <v>41</v>
      </c>
      <c r="J258" s="5">
        <v>45725</v>
      </c>
    </row>
    <row r="259" spans="1:10">
      <c r="A259" s="3" t="s">
        <v>575</v>
      </c>
      <c r="B259" s="3" t="s">
        <v>576</v>
      </c>
      <c r="C259" s="3" t="s">
        <v>12</v>
      </c>
      <c r="D259" s="3" t="s">
        <v>122</v>
      </c>
      <c r="E259" s="3" t="s">
        <v>20</v>
      </c>
      <c r="F259" s="4">
        <v>136707.66</v>
      </c>
      <c r="G259" s="4" t="s">
        <v>76</v>
      </c>
      <c r="H259" s="4">
        <v>4937.25</v>
      </c>
      <c r="I259" s="3" t="s">
        <v>577</v>
      </c>
      <c r="J259" s="5">
        <v>45780</v>
      </c>
    </row>
    <row r="260" spans="1:10">
      <c r="A260" s="3" t="s">
        <v>578</v>
      </c>
      <c r="B260" s="3" t="s">
        <v>579</v>
      </c>
      <c r="C260" s="3" t="s">
        <v>12</v>
      </c>
      <c r="D260" s="3" t="s">
        <v>252</v>
      </c>
      <c r="E260" s="3" t="s">
        <v>30</v>
      </c>
      <c r="F260" s="4">
        <v>505845.02</v>
      </c>
      <c r="G260" s="4" t="s">
        <v>21</v>
      </c>
      <c r="H260" s="4">
        <v>1460.13</v>
      </c>
      <c r="I260" s="3" t="s">
        <v>16</v>
      </c>
      <c r="J260" s="5">
        <v>45933</v>
      </c>
    </row>
    <row r="261" spans="1:10">
      <c r="A261" s="3" t="s">
        <v>580</v>
      </c>
      <c r="B261" s="3" t="s">
        <v>581</v>
      </c>
      <c r="C261" s="3" t="s">
        <v>24</v>
      </c>
      <c r="D261" s="3" t="s">
        <v>100</v>
      </c>
      <c r="E261" s="3" t="s">
        <v>14</v>
      </c>
      <c r="F261" s="4">
        <v>271913.68</v>
      </c>
      <c r="G261" s="4" t="s">
        <v>15</v>
      </c>
      <c r="H261" s="4">
        <v>3540.23</v>
      </c>
      <c r="I261" s="3" t="s">
        <v>16</v>
      </c>
      <c r="J261" s="5">
        <v>46238</v>
      </c>
    </row>
    <row r="262" spans="1:10">
      <c r="A262" s="3" t="s">
        <v>582</v>
      </c>
      <c r="B262" s="3" t="s">
        <v>583</v>
      </c>
      <c r="C262" s="3" t="s">
        <v>49</v>
      </c>
      <c r="D262" s="3" t="s">
        <v>13</v>
      </c>
      <c r="E262" s="3" t="s">
        <v>30</v>
      </c>
      <c r="F262" s="4">
        <v>650190.80000000005</v>
      </c>
      <c r="G262" s="4" t="s">
        <v>15</v>
      </c>
      <c r="H262" s="4">
        <v>3528.39</v>
      </c>
      <c r="I262" s="3" t="s">
        <v>16</v>
      </c>
      <c r="J262" s="5">
        <v>45670</v>
      </c>
    </row>
    <row r="263" spans="1:10">
      <c r="A263" s="3" t="s">
        <v>584</v>
      </c>
      <c r="B263" s="3" t="s">
        <v>585</v>
      </c>
      <c r="C263" s="3" t="s">
        <v>28</v>
      </c>
      <c r="D263" s="3" t="s">
        <v>68</v>
      </c>
      <c r="E263" s="3" t="s">
        <v>14</v>
      </c>
      <c r="F263" s="4">
        <v>194644.06</v>
      </c>
      <c r="G263" s="4" t="s">
        <v>76</v>
      </c>
      <c r="H263" s="4">
        <v>5979.38</v>
      </c>
      <c r="I263" s="3" t="s">
        <v>41</v>
      </c>
      <c r="J263" s="5">
        <v>46087</v>
      </c>
    </row>
    <row r="264" spans="1:10">
      <c r="A264" s="3" t="s">
        <v>586</v>
      </c>
      <c r="B264" s="3" t="s">
        <v>587</v>
      </c>
      <c r="C264" s="3" t="s">
        <v>49</v>
      </c>
      <c r="D264" s="3" t="s">
        <v>100</v>
      </c>
      <c r="E264" s="3" t="s">
        <v>20</v>
      </c>
      <c r="F264" s="4">
        <v>279557.32</v>
      </c>
      <c r="G264" s="4"/>
      <c r="H264" s="4">
        <v>1172.3800000000001</v>
      </c>
      <c r="I264" s="3" t="s">
        <v>16</v>
      </c>
      <c r="J264" s="5">
        <v>45711</v>
      </c>
    </row>
    <row r="265" spans="1:10">
      <c r="A265" s="3" t="s">
        <v>588</v>
      </c>
      <c r="B265" s="3" t="s">
        <v>589</v>
      </c>
      <c r="C265" s="3" t="s">
        <v>38</v>
      </c>
      <c r="D265" s="3" t="s">
        <v>53</v>
      </c>
      <c r="E265" s="3" t="s">
        <v>14</v>
      </c>
      <c r="F265" s="4">
        <v>836831.94</v>
      </c>
      <c r="G265" s="4" t="s">
        <v>21</v>
      </c>
      <c r="H265" s="4">
        <v>5129.84</v>
      </c>
      <c r="I265" s="3" t="s">
        <v>16</v>
      </c>
      <c r="J265" s="5">
        <v>45746</v>
      </c>
    </row>
    <row r="266" spans="1:10">
      <c r="A266" s="3" t="s">
        <v>590</v>
      </c>
      <c r="B266" s="3" t="s">
        <v>591</v>
      </c>
      <c r="C266" s="3" t="s">
        <v>24</v>
      </c>
      <c r="D266" s="3" t="s">
        <v>35</v>
      </c>
      <c r="E266" s="3" t="s">
        <v>20</v>
      </c>
      <c r="F266" s="4">
        <v>710409.91</v>
      </c>
      <c r="G266" s="4" t="s">
        <v>40</v>
      </c>
      <c r="H266" s="4">
        <v>4029.73</v>
      </c>
      <c r="I266" s="3" t="s">
        <v>16</v>
      </c>
      <c r="J266" s="5">
        <v>45858</v>
      </c>
    </row>
    <row r="267" spans="1:10">
      <c r="A267" s="3" t="s">
        <v>592</v>
      </c>
      <c r="B267" s="3" t="s">
        <v>593</v>
      </c>
      <c r="C267" s="3" t="s">
        <v>34</v>
      </c>
      <c r="D267" s="3" t="s">
        <v>594</v>
      </c>
      <c r="E267" s="3" t="s">
        <v>20</v>
      </c>
      <c r="F267" s="4">
        <v>615066.49</v>
      </c>
      <c r="G267" s="4" t="s">
        <v>76</v>
      </c>
      <c r="H267" s="4">
        <v>458.85</v>
      </c>
      <c r="I267" s="3" t="s">
        <v>16</v>
      </c>
      <c r="J267" s="5">
        <v>45972</v>
      </c>
    </row>
    <row r="268" spans="1:10">
      <c r="A268" s="3" t="s">
        <v>595</v>
      </c>
      <c r="B268" s="3" t="s">
        <v>596</v>
      </c>
      <c r="C268" s="3" t="s">
        <v>38</v>
      </c>
      <c r="D268" s="3" t="s">
        <v>35</v>
      </c>
      <c r="E268" s="3" t="s">
        <v>14</v>
      </c>
      <c r="F268" s="4">
        <v>924754.5</v>
      </c>
      <c r="G268" s="4" t="s">
        <v>81</v>
      </c>
      <c r="H268" s="4">
        <v>1012.81</v>
      </c>
      <c r="I268" s="3" t="s">
        <v>46</v>
      </c>
      <c r="J268" s="5">
        <v>46190</v>
      </c>
    </row>
    <row r="269" spans="1:10">
      <c r="A269" s="3" t="s">
        <v>597</v>
      </c>
      <c r="B269" s="3" t="s">
        <v>598</v>
      </c>
      <c r="C269" s="3" t="s">
        <v>28</v>
      </c>
      <c r="D269" s="3" t="s">
        <v>29</v>
      </c>
      <c r="E269" s="3" t="s">
        <v>30</v>
      </c>
      <c r="F269" s="4">
        <v>152832.74</v>
      </c>
      <c r="G269" s="4" t="s">
        <v>50</v>
      </c>
      <c r="H269" s="4">
        <v>902.72</v>
      </c>
      <c r="I269" s="3" t="s">
        <v>16</v>
      </c>
      <c r="J269" s="5">
        <v>46103</v>
      </c>
    </row>
    <row r="270" spans="1:10">
      <c r="A270" s="3" t="s">
        <v>599</v>
      </c>
      <c r="B270" s="3" t="s">
        <v>600</v>
      </c>
      <c r="C270" s="3" t="s">
        <v>24</v>
      </c>
      <c r="D270" s="3" t="s">
        <v>13</v>
      </c>
      <c r="E270" s="3" t="s">
        <v>601</v>
      </c>
      <c r="F270" s="4">
        <v>674667.56</v>
      </c>
      <c r="G270" s="4" t="s">
        <v>31</v>
      </c>
      <c r="H270" s="4">
        <v>2374.25</v>
      </c>
      <c r="I270" s="3" t="s">
        <v>16</v>
      </c>
      <c r="J270" s="5">
        <v>45734</v>
      </c>
    </row>
    <row r="271" spans="1:10">
      <c r="A271" s="3" t="s">
        <v>602</v>
      </c>
      <c r="B271" s="3" t="s">
        <v>603</v>
      </c>
      <c r="C271" s="3" t="s">
        <v>38</v>
      </c>
      <c r="D271" s="3" t="s">
        <v>178</v>
      </c>
      <c r="E271" s="3" t="s">
        <v>20</v>
      </c>
      <c r="F271" s="4">
        <v>458770.7</v>
      </c>
      <c r="G271" s="4" t="s">
        <v>50</v>
      </c>
      <c r="H271" s="4">
        <v>1180.46</v>
      </c>
      <c r="I271" s="3" t="s">
        <v>16</v>
      </c>
      <c r="J271" s="5">
        <v>45870</v>
      </c>
    </row>
    <row r="272" spans="1:10">
      <c r="A272" s="3" t="s">
        <v>604</v>
      </c>
      <c r="B272" s="3" t="s">
        <v>605</v>
      </c>
      <c r="C272" s="3" t="s">
        <v>28</v>
      </c>
      <c r="D272" s="3" t="s">
        <v>13</v>
      </c>
      <c r="E272" s="3" t="s">
        <v>14</v>
      </c>
      <c r="F272" s="4">
        <v>175006.15</v>
      </c>
      <c r="G272" s="4" t="s">
        <v>21</v>
      </c>
      <c r="H272" s="4">
        <v>5449.64</v>
      </c>
      <c r="I272" s="3" t="s">
        <v>16</v>
      </c>
      <c r="J272" s="5">
        <v>45699</v>
      </c>
    </row>
    <row r="273" spans="1:10">
      <c r="A273" s="3" t="s">
        <v>606</v>
      </c>
      <c r="B273" s="3" t="s">
        <v>607</v>
      </c>
      <c r="C273" s="3" t="s">
        <v>49</v>
      </c>
      <c r="D273" s="3" t="s">
        <v>29</v>
      </c>
      <c r="E273" s="3" t="s">
        <v>152</v>
      </c>
      <c r="F273" s="4">
        <v>-1500</v>
      </c>
      <c r="G273" s="4" t="s">
        <v>76</v>
      </c>
      <c r="H273" s="4">
        <v>2024.01</v>
      </c>
      <c r="I273" s="3" t="s">
        <v>46</v>
      </c>
      <c r="J273" s="5">
        <v>45689</v>
      </c>
    </row>
    <row r="274" spans="1:10">
      <c r="A274" s="3" t="s">
        <v>608</v>
      </c>
      <c r="B274" s="3" t="s">
        <v>609</v>
      </c>
      <c r="C274" s="3" t="s">
        <v>38</v>
      </c>
      <c r="D274" s="3" t="s">
        <v>19</v>
      </c>
      <c r="E274" s="3" t="s">
        <v>14</v>
      </c>
      <c r="F274" s="4">
        <v>117147.25</v>
      </c>
      <c r="G274" s="4" t="s">
        <v>15</v>
      </c>
      <c r="H274" s="4">
        <v>1295.75</v>
      </c>
      <c r="I274" s="3" t="s">
        <v>16</v>
      </c>
      <c r="J274" s="5">
        <v>45885</v>
      </c>
    </row>
    <row r="275" spans="1:10">
      <c r="A275" s="3" t="s">
        <v>610</v>
      </c>
      <c r="B275" s="3" t="s">
        <v>611</v>
      </c>
      <c r="C275" s="3" t="s">
        <v>28</v>
      </c>
      <c r="D275" s="3" t="s">
        <v>68</v>
      </c>
      <c r="E275" s="3" t="s">
        <v>30</v>
      </c>
      <c r="F275" s="4">
        <v>107316.27</v>
      </c>
      <c r="G275" s="4" t="s">
        <v>21</v>
      </c>
      <c r="H275" s="4">
        <v>6000.44</v>
      </c>
      <c r="I275" s="3" t="s">
        <v>16</v>
      </c>
      <c r="J275" s="5">
        <v>45724</v>
      </c>
    </row>
    <row r="276" spans="1:10">
      <c r="A276" s="3" t="s">
        <v>612</v>
      </c>
      <c r="B276" s="3" t="s">
        <v>613</v>
      </c>
      <c r="C276" s="3" t="s">
        <v>49</v>
      </c>
      <c r="D276" s="3" t="s">
        <v>29</v>
      </c>
      <c r="E276" s="3" t="s">
        <v>20</v>
      </c>
      <c r="F276" s="4">
        <v>142725.45000000001</v>
      </c>
      <c r="G276" s="4" t="s">
        <v>45</v>
      </c>
      <c r="H276" s="4">
        <v>756.36</v>
      </c>
      <c r="I276" s="3" t="s">
        <v>46</v>
      </c>
      <c r="J276" s="5">
        <v>46101</v>
      </c>
    </row>
    <row r="277" spans="1:10">
      <c r="A277" s="3" t="s">
        <v>614</v>
      </c>
      <c r="B277" s="3" t="s">
        <v>615</v>
      </c>
      <c r="C277" s="3" t="s">
        <v>34</v>
      </c>
      <c r="D277" s="3" t="s">
        <v>100</v>
      </c>
      <c r="E277" s="3" t="s">
        <v>14</v>
      </c>
      <c r="F277" s="4">
        <v>355627.79</v>
      </c>
      <c r="G277" s="4" t="s">
        <v>81</v>
      </c>
      <c r="H277" s="4">
        <v>3148.37</v>
      </c>
      <c r="I277" s="3" t="s">
        <v>16</v>
      </c>
      <c r="J277" s="5">
        <v>45909</v>
      </c>
    </row>
    <row r="278" spans="1:10">
      <c r="A278" s="3" t="s">
        <v>616</v>
      </c>
      <c r="B278" s="3" t="s">
        <v>617</v>
      </c>
      <c r="C278" s="3" t="s">
        <v>28</v>
      </c>
      <c r="D278" s="3" t="s">
        <v>19</v>
      </c>
      <c r="E278" s="3" t="s">
        <v>20</v>
      </c>
      <c r="F278" s="4">
        <v>86100.74</v>
      </c>
      <c r="G278" s="4" t="s">
        <v>21</v>
      </c>
      <c r="H278" s="4">
        <v>2767.24</v>
      </c>
      <c r="I278" s="3" t="s">
        <v>16</v>
      </c>
      <c r="J278" s="5">
        <v>46196</v>
      </c>
    </row>
    <row r="279" spans="1:10">
      <c r="A279" s="3" t="s">
        <v>618</v>
      </c>
      <c r="B279" s="3" t="s">
        <v>619</v>
      </c>
      <c r="C279" s="3" t="s">
        <v>28</v>
      </c>
      <c r="D279" s="3" t="s">
        <v>68</v>
      </c>
      <c r="E279" s="3" t="s">
        <v>20</v>
      </c>
      <c r="F279" s="4">
        <v>346511.39</v>
      </c>
      <c r="G279" s="4" t="s">
        <v>31</v>
      </c>
      <c r="H279" s="4">
        <v>2799.71</v>
      </c>
      <c r="I279" s="3" t="s">
        <v>16</v>
      </c>
      <c r="J279" s="5">
        <v>45984</v>
      </c>
    </row>
    <row r="280" spans="1:10">
      <c r="A280" s="3" t="s">
        <v>620</v>
      </c>
      <c r="B280" s="3" t="s">
        <v>621</v>
      </c>
      <c r="C280" s="3" t="s">
        <v>24</v>
      </c>
      <c r="D280" s="3" t="s">
        <v>53</v>
      </c>
      <c r="E280" s="3" t="s">
        <v>20</v>
      </c>
      <c r="F280" s="4">
        <v>517077.71</v>
      </c>
      <c r="G280" s="4" t="s">
        <v>40</v>
      </c>
      <c r="H280" s="4">
        <v>1055.81</v>
      </c>
      <c r="I280" s="3" t="s">
        <v>16</v>
      </c>
      <c r="J280" s="5">
        <v>45930</v>
      </c>
    </row>
    <row r="281" spans="1:10">
      <c r="A281" s="3" t="s">
        <v>622</v>
      </c>
      <c r="B281" s="3" t="s">
        <v>623</v>
      </c>
      <c r="C281" s="3" t="s">
        <v>38</v>
      </c>
      <c r="D281" s="3" t="s">
        <v>100</v>
      </c>
      <c r="E281" s="3" t="s">
        <v>14</v>
      </c>
      <c r="F281" s="4">
        <v>-500000</v>
      </c>
      <c r="G281" s="4" t="s">
        <v>31</v>
      </c>
      <c r="H281" s="4">
        <v>5327.57</v>
      </c>
      <c r="I281" s="3" t="s">
        <v>16</v>
      </c>
      <c r="J281" s="5">
        <v>45686</v>
      </c>
    </row>
    <row r="282" spans="1:10">
      <c r="A282" s="3" t="s">
        <v>624</v>
      </c>
      <c r="B282" s="3" t="s">
        <v>625</v>
      </c>
      <c r="C282" s="3" t="s">
        <v>38</v>
      </c>
      <c r="D282" s="3" t="s">
        <v>35</v>
      </c>
      <c r="E282" s="3" t="s">
        <v>20</v>
      </c>
      <c r="F282" s="4">
        <v>528754.63</v>
      </c>
      <c r="G282" s="4" t="s">
        <v>81</v>
      </c>
      <c r="H282" s="4">
        <v>996.06</v>
      </c>
      <c r="I282" s="3" t="s">
        <v>16</v>
      </c>
      <c r="J282" s="5">
        <v>45882</v>
      </c>
    </row>
    <row r="283" spans="1:10">
      <c r="A283" s="3" t="s">
        <v>626</v>
      </c>
      <c r="B283" s="3" t="s">
        <v>627</v>
      </c>
      <c r="C283" s="3" t="s">
        <v>34</v>
      </c>
      <c r="D283" s="3" t="s">
        <v>68</v>
      </c>
      <c r="E283" s="3" t="s">
        <v>14</v>
      </c>
      <c r="F283" s="4">
        <v>771929.78</v>
      </c>
      <c r="G283" s="4" t="s">
        <v>31</v>
      </c>
      <c r="H283" s="4">
        <v>4787.47</v>
      </c>
      <c r="I283" s="3" t="s">
        <v>46</v>
      </c>
      <c r="J283" s="5">
        <v>45989</v>
      </c>
    </row>
    <row r="284" spans="1:10">
      <c r="A284" s="3" t="s">
        <v>628</v>
      </c>
      <c r="B284" s="3" t="s">
        <v>629</v>
      </c>
      <c r="C284" s="3" t="s">
        <v>49</v>
      </c>
      <c r="D284" s="3" t="s">
        <v>87</v>
      </c>
      <c r="E284" s="3" t="s">
        <v>30</v>
      </c>
      <c r="F284" s="4">
        <v>873846.22</v>
      </c>
      <c r="G284" s="4" t="s">
        <v>15</v>
      </c>
      <c r="H284" s="4">
        <v>5657.05</v>
      </c>
      <c r="I284" s="3" t="s">
        <v>46</v>
      </c>
      <c r="J284" s="5">
        <v>46040</v>
      </c>
    </row>
    <row r="285" spans="1:10">
      <c r="A285" s="3" t="s">
        <v>630</v>
      </c>
      <c r="B285" s="3" t="s">
        <v>631</v>
      </c>
      <c r="C285" s="3" t="s">
        <v>24</v>
      </c>
      <c r="D285" s="3" t="s">
        <v>13</v>
      </c>
      <c r="E285" s="3" t="s">
        <v>14</v>
      </c>
      <c r="F285" s="4">
        <v>703763.86</v>
      </c>
      <c r="G285" s="4" t="s">
        <v>50</v>
      </c>
      <c r="H285" s="4">
        <v>5240.6499999999996</v>
      </c>
      <c r="I285" s="3" t="s">
        <v>46</v>
      </c>
      <c r="J285" s="5">
        <v>45982</v>
      </c>
    </row>
    <row r="286" spans="1:10">
      <c r="A286" s="3" t="s">
        <v>632</v>
      </c>
      <c r="B286" s="3" t="s">
        <v>633</v>
      </c>
      <c r="C286" s="3" t="s">
        <v>49</v>
      </c>
      <c r="D286" s="3" t="s">
        <v>87</v>
      </c>
      <c r="E286" s="3" t="s">
        <v>14</v>
      </c>
      <c r="F286" s="4">
        <v>378113.38</v>
      </c>
      <c r="G286" s="4" t="s">
        <v>21</v>
      </c>
      <c r="H286" s="4">
        <v>1220.46</v>
      </c>
      <c r="I286" s="3" t="s">
        <v>41</v>
      </c>
      <c r="J286" s="5">
        <v>46244</v>
      </c>
    </row>
    <row r="287" spans="1:10">
      <c r="A287" s="3" t="s">
        <v>634</v>
      </c>
      <c r="B287" s="3" t="s">
        <v>635</v>
      </c>
      <c r="C287" s="3" t="s">
        <v>49</v>
      </c>
      <c r="D287" s="3" t="s">
        <v>87</v>
      </c>
      <c r="E287" s="3" t="s">
        <v>20</v>
      </c>
      <c r="F287" s="4">
        <v>877355.16</v>
      </c>
      <c r="G287" s="4" t="s">
        <v>40</v>
      </c>
      <c r="H287" s="4">
        <v>1079.8699999999999</v>
      </c>
      <c r="I287" s="3" t="s">
        <v>16</v>
      </c>
      <c r="J287" s="5">
        <v>45997</v>
      </c>
    </row>
    <row r="288" spans="1:10">
      <c r="A288" s="3" t="s">
        <v>636</v>
      </c>
      <c r="B288" s="3" t="s">
        <v>637</v>
      </c>
      <c r="C288" s="3" t="s">
        <v>24</v>
      </c>
      <c r="D288" s="3" t="s">
        <v>294</v>
      </c>
      <c r="E288" s="3" t="s">
        <v>30</v>
      </c>
      <c r="F288" s="4">
        <v>646422.61</v>
      </c>
      <c r="G288" s="4" t="s">
        <v>31</v>
      </c>
      <c r="H288" s="4">
        <v>3152.11</v>
      </c>
      <c r="I288" s="3" t="s">
        <v>16</v>
      </c>
      <c r="J288" s="5">
        <v>45913</v>
      </c>
    </row>
    <row r="289" spans="1:10">
      <c r="A289" s="3" t="s">
        <v>638</v>
      </c>
      <c r="B289" s="3" t="s">
        <v>639</v>
      </c>
      <c r="C289" s="3" t="s">
        <v>24</v>
      </c>
      <c r="D289" s="3" t="s">
        <v>29</v>
      </c>
      <c r="E289" s="3" t="s">
        <v>14</v>
      </c>
      <c r="F289" s="4">
        <v>385062.13</v>
      </c>
      <c r="G289" s="4" t="s">
        <v>50</v>
      </c>
      <c r="H289" s="4">
        <v>6313.07</v>
      </c>
      <c r="I289" s="3" t="s">
        <v>41</v>
      </c>
      <c r="J289" s="5">
        <v>46162</v>
      </c>
    </row>
    <row r="290" spans="1:10">
      <c r="A290" s="3" t="s">
        <v>463</v>
      </c>
      <c r="B290" s="3" t="s">
        <v>640</v>
      </c>
      <c r="C290" s="3" t="s">
        <v>38</v>
      </c>
      <c r="D290" s="3" t="s">
        <v>348</v>
      </c>
      <c r="E290" s="3" t="s">
        <v>30</v>
      </c>
      <c r="F290" s="4">
        <v>628892</v>
      </c>
      <c r="G290" s="4" t="s">
        <v>641</v>
      </c>
      <c r="H290" s="4">
        <v>5285.13</v>
      </c>
      <c r="I290" s="3" t="s">
        <v>16</v>
      </c>
      <c r="J290" s="5">
        <v>45678</v>
      </c>
    </row>
    <row r="291" spans="1:10">
      <c r="A291" s="3" t="s">
        <v>642</v>
      </c>
      <c r="B291" s="3" t="s">
        <v>643</v>
      </c>
      <c r="C291" s="3" t="s">
        <v>34</v>
      </c>
      <c r="D291" s="3" t="s">
        <v>29</v>
      </c>
      <c r="E291" s="3" t="s">
        <v>20</v>
      </c>
      <c r="F291" s="4">
        <v>178032.14</v>
      </c>
      <c r="G291" s="4" t="s">
        <v>15</v>
      </c>
      <c r="H291" s="4">
        <v>-900</v>
      </c>
      <c r="I291" s="3" t="s">
        <v>644</v>
      </c>
      <c r="J291" s="5">
        <v>46152</v>
      </c>
    </row>
    <row r="292" spans="1:10">
      <c r="A292" s="3" t="s">
        <v>645</v>
      </c>
      <c r="B292" s="3" t="s">
        <v>646</v>
      </c>
      <c r="C292" s="3" t="s">
        <v>12</v>
      </c>
      <c r="D292" s="3" t="s">
        <v>58</v>
      </c>
      <c r="E292" s="3" t="s">
        <v>20</v>
      </c>
      <c r="F292" s="4">
        <v>174535.48</v>
      </c>
      <c r="G292" s="4" t="s">
        <v>15</v>
      </c>
      <c r="H292" s="4">
        <v>6345.11</v>
      </c>
      <c r="I292" s="3" t="s">
        <v>16</v>
      </c>
      <c r="J292" s="5">
        <v>46225</v>
      </c>
    </row>
    <row r="293" spans="1:10">
      <c r="A293" s="3" t="s">
        <v>647</v>
      </c>
      <c r="B293" s="3" t="s">
        <v>648</v>
      </c>
      <c r="C293" s="3" t="s">
        <v>24</v>
      </c>
      <c r="D293" s="3" t="s">
        <v>39</v>
      </c>
      <c r="E293" s="3" t="s">
        <v>30</v>
      </c>
      <c r="F293" s="4">
        <v>535689.62</v>
      </c>
      <c r="G293" s="4" t="s">
        <v>45</v>
      </c>
      <c r="H293" s="4">
        <v>1379.22</v>
      </c>
      <c r="I293" s="3" t="s">
        <v>16</v>
      </c>
      <c r="J293" s="5">
        <v>46095</v>
      </c>
    </row>
    <row r="294" spans="1:10">
      <c r="A294" s="3" t="s">
        <v>649</v>
      </c>
      <c r="B294" s="3" t="s">
        <v>650</v>
      </c>
      <c r="C294" s="3" t="s">
        <v>12</v>
      </c>
      <c r="D294" s="3" t="s">
        <v>87</v>
      </c>
      <c r="E294" s="3" t="s">
        <v>20</v>
      </c>
      <c r="F294" s="4">
        <v>213700.82</v>
      </c>
      <c r="G294" s="4" t="s">
        <v>76</v>
      </c>
      <c r="H294" s="4">
        <v>4311.05</v>
      </c>
      <c r="I294" s="3" t="s">
        <v>46</v>
      </c>
      <c r="J294" s="5">
        <v>46142</v>
      </c>
    </row>
    <row r="295" spans="1:10">
      <c r="A295" s="3" t="s">
        <v>651</v>
      </c>
      <c r="B295" s="3" t="s">
        <v>652</v>
      </c>
      <c r="C295" s="3" t="s">
        <v>28</v>
      </c>
      <c r="D295" s="3" t="s">
        <v>65</v>
      </c>
      <c r="E295" s="3" t="s">
        <v>20</v>
      </c>
      <c r="F295" s="4">
        <v>853287.28</v>
      </c>
      <c r="G295" s="4" t="s">
        <v>21</v>
      </c>
      <c r="H295" s="4">
        <v>1001.38</v>
      </c>
      <c r="I295" s="3" t="s">
        <v>16</v>
      </c>
      <c r="J295" s="5">
        <v>45847</v>
      </c>
    </row>
    <row r="296" spans="1:10">
      <c r="A296" s="3" t="s">
        <v>653</v>
      </c>
      <c r="B296" s="3" t="s">
        <v>654</v>
      </c>
      <c r="C296" s="3" t="s">
        <v>24</v>
      </c>
      <c r="D296" s="3" t="s">
        <v>58</v>
      </c>
      <c r="E296" s="3" t="s">
        <v>20</v>
      </c>
      <c r="F296" s="4">
        <v>434561.19</v>
      </c>
      <c r="G296" s="4" t="s">
        <v>21</v>
      </c>
      <c r="H296" s="4">
        <v>1818.77</v>
      </c>
      <c r="I296" s="3" t="s">
        <v>16</v>
      </c>
      <c r="J296" s="5">
        <v>45721</v>
      </c>
    </row>
    <row r="297" spans="1:10">
      <c r="A297" s="3" t="s">
        <v>655</v>
      </c>
      <c r="B297" s="3" t="s">
        <v>656</v>
      </c>
      <c r="C297" s="3" t="s">
        <v>34</v>
      </c>
      <c r="D297" s="3" t="s">
        <v>68</v>
      </c>
      <c r="E297" s="3" t="s">
        <v>20</v>
      </c>
      <c r="F297" s="4">
        <v>923049.09</v>
      </c>
      <c r="G297" s="4" t="s">
        <v>40</v>
      </c>
      <c r="H297" s="4">
        <v>5536.82</v>
      </c>
      <c r="I297" s="3" t="s">
        <v>41</v>
      </c>
      <c r="J297" s="5" t="s">
        <v>657</v>
      </c>
    </row>
    <row r="298" spans="1:10">
      <c r="A298" s="3" t="s">
        <v>658</v>
      </c>
      <c r="B298" s="3" t="s">
        <v>659</v>
      </c>
      <c r="C298" s="3" t="s">
        <v>28</v>
      </c>
      <c r="D298" s="3" t="s">
        <v>44</v>
      </c>
      <c r="E298" s="3" t="s">
        <v>14</v>
      </c>
      <c r="F298" s="4">
        <v>491933.35</v>
      </c>
      <c r="G298" s="4" t="s">
        <v>173</v>
      </c>
      <c r="H298" s="4">
        <v>1495.92</v>
      </c>
      <c r="I298" s="3" t="s">
        <v>46</v>
      </c>
      <c r="J298" s="5">
        <v>45874</v>
      </c>
    </row>
    <row r="299" spans="1:10">
      <c r="A299" s="3" t="s">
        <v>660</v>
      </c>
      <c r="B299" s="3" t="s">
        <v>661</v>
      </c>
      <c r="C299" s="3" t="s">
        <v>34</v>
      </c>
      <c r="D299" s="3" t="s">
        <v>594</v>
      </c>
      <c r="E299" s="3" t="s">
        <v>20</v>
      </c>
      <c r="F299" s="4">
        <v>215765.74</v>
      </c>
      <c r="G299" s="4" t="s">
        <v>81</v>
      </c>
      <c r="H299" s="4">
        <v>2010.21</v>
      </c>
      <c r="I299" s="3" t="s">
        <v>46</v>
      </c>
      <c r="J299" s="5">
        <v>45726</v>
      </c>
    </row>
    <row r="300" spans="1:10">
      <c r="A300" s="3" t="s">
        <v>662</v>
      </c>
      <c r="B300" s="3" t="s">
        <v>663</v>
      </c>
      <c r="C300" s="3" t="s">
        <v>38</v>
      </c>
      <c r="D300" s="3" t="s">
        <v>100</v>
      </c>
      <c r="E300" s="3" t="s">
        <v>20</v>
      </c>
      <c r="F300" s="4">
        <v>508113.12</v>
      </c>
      <c r="G300" s="4" t="s">
        <v>76</v>
      </c>
      <c r="H300" s="4">
        <v>4219.5</v>
      </c>
      <c r="I300" s="3" t="s">
        <v>16</v>
      </c>
      <c r="J300" s="5">
        <v>46087</v>
      </c>
    </row>
    <row r="301" spans="1:10">
      <c r="A301" s="3" t="s">
        <v>664</v>
      </c>
      <c r="B301" s="3" t="s">
        <v>665</v>
      </c>
      <c r="C301" s="3" t="s">
        <v>49</v>
      </c>
      <c r="D301" s="3" t="s">
        <v>58</v>
      </c>
      <c r="E301" s="3" t="s">
        <v>30</v>
      </c>
      <c r="F301" s="4">
        <v>727707.2</v>
      </c>
      <c r="G301" s="4" t="s">
        <v>15</v>
      </c>
      <c r="H301" s="4">
        <v>3854.24</v>
      </c>
      <c r="I301" s="3" t="s">
        <v>16</v>
      </c>
      <c r="J301" s="5">
        <v>45950</v>
      </c>
    </row>
  </sheetData>
  <conditionalFormatting sqref="E2:E301">
    <cfRule type="expression" dxfId="4" priority="1">
      <formula>AND(E2&lt;&gt;"",E2&lt;&gt;"A",E2&lt;&gt;"B",E2&lt;&gt;"C")</formula>
    </cfRule>
  </conditionalFormatting>
  <conditionalFormatting sqref="F2:F301">
    <cfRule type="cellIs" dxfId="3" priority="2" operator="lessThan">
      <formula>0</formula>
    </cfRule>
  </conditionalFormatting>
  <conditionalFormatting sqref="H2:H301">
    <cfRule type="cellIs" dxfId="2" priority="3" operator="lessThan">
      <formula>0</formula>
    </cfRule>
  </conditionalFormatting>
  <conditionalFormatting sqref="I2:I301">
    <cfRule type="expression" dxfId="1" priority="4">
      <formula>AND(I2&lt;&gt;"",I2&lt;&gt;"ATIVO",I2&lt;&gt;"PENDENTE",I2&lt;&gt;"CANCELADO")</formula>
    </cfRule>
  </conditionalFormatting>
  <conditionalFormatting sqref="A2:A301">
    <cfRule type="expression" dxfId="0" priority="5">
      <formula>OR(A2="",COUNTIF($A$2:$A$301,A2)&gt;1)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zoomScaleNormal="100" zoomScaleSheetLayoutView="100" workbookViewId="0"/>
  </sheetViews>
  <sheetFormatPr defaultRowHeight="15"/>
  <cols>
    <col min="1" max="1" width="12" customWidth="1"/>
    <col min="2" max="2" width="20" customWidth="1"/>
    <col min="3" max="4" width="22" customWidth="1"/>
    <col min="5" max="5" width="55" customWidth="1"/>
  </cols>
  <sheetData>
    <row r="1" spans="1:5">
      <c r="A1" s="2" t="s">
        <v>666</v>
      </c>
      <c r="B1" s="2" t="s">
        <v>667</v>
      </c>
      <c r="C1" s="2" t="s">
        <v>668</v>
      </c>
      <c r="D1" s="2" t="s">
        <v>669</v>
      </c>
      <c r="E1" s="2" t="s">
        <v>670</v>
      </c>
    </row>
    <row r="2" spans="1:5">
      <c r="A2" s="3">
        <v>19</v>
      </c>
      <c r="B2" s="3"/>
      <c r="C2" s="3" t="s">
        <v>671</v>
      </c>
      <c r="D2" s="3" t="s">
        <v>0</v>
      </c>
      <c r="E2" s="3" t="s">
        <v>672</v>
      </c>
    </row>
    <row r="3" spans="1:5">
      <c r="A3" s="3">
        <v>80</v>
      </c>
      <c r="B3" s="3"/>
      <c r="C3" s="3" t="s">
        <v>671</v>
      </c>
      <c r="D3" s="3" t="s">
        <v>0</v>
      </c>
      <c r="E3" s="3" t="s">
        <v>672</v>
      </c>
    </row>
    <row r="4" spans="1:5">
      <c r="A4" s="3">
        <v>151</v>
      </c>
      <c r="B4" s="3"/>
      <c r="C4" s="3" t="s">
        <v>671</v>
      </c>
      <c r="D4" s="3" t="s">
        <v>0</v>
      </c>
      <c r="E4" s="3" t="s">
        <v>672</v>
      </c>
    </row>
    <row r="5" spans="1:5">
      <c r="A5" s="3">
        <v>223</v>
      </c>
      <c r="B5" s="3"/>
      <c r="C5" s="3" t="s">
        <v>671</v>
      </c>
      <c r="D5" s="3" t="s">
        <v>0</v>
      </c>
      <c r="E5" s="3" t="s">
        <v>672</v>
      </c>
    </row>
    <row r="6" spans="1:5">
      <c r="A6" s="3">
        <v>37</v>
      </c>
      <c r="B6" s="3" t="s">
        <v>56</v>
      </c>
      <c r="C6" s="3" t="s">
        <v>673</v>
      </c>
      <c r="D6" s="3" t="s">
        <v>0</v>
      </c>
      <c r="E6" s="3" t="s">
        <v>674</v>
      </c>
    </row>
    <row r="7" spans="1:5">
      <c r="A7" s="3">
        <v>98</v>
      </c>
      <c r="B7" s="3" t="s">
        <v>133</v>
      </c>
      <c r="C7" s="3" t="s">
        <v>673</v>
      </c>
      <c r="D7" s="3" t="s">
        <v>0</v>
      </c>
      <c r="E7" s="3" t="s">
        <v>675</v>
      </c>
    </row>
    <row r="8" spans="1:5">
      <c r="A8" s="3">
        <v>162</v>
      </c>
      <c r="B8" s="3" t="s">
        <v>200</v>
      </c>
      <c r="C8" s="3" t="s">
        <v>673</v>
      </c>
      <c r="D8" s="3" t="s">
        <v>0</v>
      </c>
      <c r="E8" s="3" t="s">
        <v>676</v>
      </c>
    </row>
    <row r="9" spans="1:5">
      <c r="A9" s="3">
        <v>246</v>
      </c>
      <c r="B9" s="3" t="s">
        <v>295</v>
      </c>
      <c r="C9" s="3" t="s">
        <v>673</v>
      </c>
      <c r="D9" s="3" t="s">
        <v>0</v>
      </c>
      <c r="E9" s="3" t="s">
        <v>677</v>
      </c>
    </row>
    <row r="10" spans="1:5">
      <c r="A10" s="3">
        <v>290</v>
      </c>
      <c r="B10" s="3" t="s">
        <v>463</v>
      </c>
      <c r="C10" s="3" t="s">
        <v>673</v>
      </c>
      <c r="D10" s="3" t="s">
        <v>0</v>
      </c>
      <c r="E10" s="3" t="s">
        <v>678</v>
      </c>
    </row>
    <row r="11" spans="1:5">
      <c r="A11" s="3">
        <v>54</v>
      </c>
      <c r="B11" s="3" t="s">
        <v>150</v>
      </c>
      <c r="C11" s="3" t="s">
        <v>679</v>
      </c>
      <c r="D11" s="3" t="s">
        <v>4</v>
      </c>
      <c r="E11" s="3" t="s">
        <v>680</v>
      </c>
    </row>
    <row r="12" spans="1:5">
      <c r="A12" s="3">
        <v>113</v>
      </c>
      <c r="B12" s="3" t="s">
        <v>276</v>
      </c>
      <c r="C12" s="3" t="s">
        <v>679</v>
      </c>
      <c r="D12" s="3" t="s">
        <v>4</v>
      </c>
      <c r="E12" s="3" t="s">
        <v>681</v>
      </c>
    </row>
    <row r="13" spans="1:5">
      <c r="A13" s="3">
        <v>175</v>
      </c>
      <c r="B13" s="3" t="s">
        <v>404</v>
      </c>
      <c r="C13" s="3" t="s">
        <v>679</v>
      </c>
      <c r="D13" s="3" t="s">
        <v>4</v>
      </c>
      <c r="E13" s="3" t="s">
        <v>682</v>
      </c>
    </row>
    <row r="14" spans="1:5">
      <c r="A14" s="3">
        <v>270</v>
      </c>
      <c r="B14" s="3" t="s">
        <v>599</v>
      </c>
      <c r="C14" s="3" t="s">
        <v>679</v>
      </c>
      <c r="D14" s="3" t="s">
        <v>4</v>
      </c>
      <c r="E14" s="3" t="s">
        <v>683</v>
      </c>
    </row>
    <row r="15" spans="1:5">
      <c r="A15" s="3">
        <v>66</v>
      </c>
      <c r="B15" s="3" t="s">
        <v>176</v>
      </c>
      <c r="C15" s="3" t="s">
        <v>684</v>
      </c>
      <c r="D15" s="3" t="s">
        <v>5</v>
      </c>
      <c r="E15" s="3" t="s">
        <v>685</v>
      </c>
    </row>
    <row r="16" spans="1:5">
      <c r="A16" s="3">
        <v>131</v>
      </c>
      <c r="B16" s="3" t="s">
        <v>314</v>
      </c>
      <c r="C16" s="3" t="s">
        <v>684</v>
      </c>
      <c r="D16" s="3" t="s">
        <v>5</v>
      </c>
      <c r="E16" s="3" t="s">
        <v>685</v>
      </c>
    </row>
    <row r="17" spans="1:5">
      <c r="A17" s="3">
        <v>207</v>
      </c>
      <c r="B17" s="3" t="s">
        <v>471</v>
      </c>
      <c r="C17" s="3" t="s">
        <v>684</v>
      </c>
      <c r="D17" s="3" t="s">
        <v>5</v>
      </c>
      <c r="E17" s="3" t="s">
        <v>685</v>
      </c>
    </row>
    <row r="18" spans="1:5">
      <c r="A18" s="3">
        <v>281</v>
      </c>
      <c r="B18" s="3" t="s">
        <v>622</v>
      </c>
      <c r="C18" s="3" t="s">
        <v>684</v>
      </c>
      <c r="D18" s="3" t="s">
        <v>5</v>
      </c>
      <c r="E18" s="3" t="s">
        <v>685</v>
      </c>
    </row>
    <row r="19" spans="1:5">
      <c r="A19" s="3">
        <v>85</v>
      </c>
      <c r="B19" s="3" t="s">
        <v>216</v>
      </c>
      <c r="C19" s="3" t="s">
        <v>679</v>
      </c>
      <c r="D19" s="3" t="s">
        <v>8</v>
      </c>
      <c r="E19" s="3" t="s">
        <v>686</v>
      </c>
    </row>
    <row r="20" spans="1:5">
      <c r="A20" s="3">
        <v>143</v>
      </c>
      <c r="B20" s="3" t="s">
        <v>339</v>
      </c>
      <c r="C20" s="3" t="s">
        <v>679</v>
      </c>
      <c r="D20" s="3" t="s">
        <v>8</v>
      </c>
      <c r="E20" s="3" t="s">
        <v>687</v>
      </c>
    </row>
    <row r="21" spans="1:5">
      <c r="A21" s="3">
        <v>196</v>
      </c>
      <c r="B21" s="3" t="s">
        <v>448</v>
      </c>
      <c r="C21" s="3" t="s">
        <v>679</v>
      </c>
      <c r="D21" s="3" t="s">
        <v>8</v>
      </c>
      <c r="E21" s="3" t="s">
        <v>688</v>
      </c>
    </row>
    <row r="22" spans="1:5">
      <c r="A22" s="3">
        <v>259</v>
      </c>
      <c r="B22" s="3" t="s">
        <v>575</v>
      </c>
      <c r="C22" s="3" t="s">
        <v>679</v>
      </c>
      <c r="D22" s="3" t="s">
        <v>8</v>
      </c>
      <c r="E22" s="3" t="s">
        <v>689</v>
      </c>
    </row>
    <row r="23" spans="1:5">
      <c r="A23" s="3">
        <v>103</v>
      </c>
      <c r="B23" s="3" t="s">
        <v>255</v>
      </c>
      <c r="C23" s="3" t="s">
        <v>684</v>
      </c>
      <c r="D23" s="3" t="s">
        <v>7</v>
      </c>
      <c r="E23" s="3" t="s">
        <v>690</v>
      </c>
    </row>
    <row r="24" spans="1:5">
      <c r="A24" s="3">
        <v>190</v>
      </c>
      <c r="B24" s="3" t="s">
        <v>436</v>
      </c>
      <c r="C24" s="3" t="s">
        <v>684</v>
      </c>
      <c r="D24" s="3" t="s">
        <v>7</v>
      </c>
      <c r="E24" s="3" t="s">
        <v>690</v>
      </c>
    </row>
    <row r="25" spans="1:5">
      <c r="A25" s="3">
        <v>234</v>
      </c>
      <c r="B25" s="3" t="s">
        <v>525</v>
      </c>
      <c r="C25" s="3" t="s">
        <v>684</v>
      </c>
      <c r="D25" s="3" t="s">
        <v>7</v>
      </c>
      <c r="E25" s="3" t="s">
        <v>690</v>
      </c>
    </row>
    <row r="26" spans="1:5">
      <c r="A26" s="3">
        <v>119</v>
      </c>
      <c r="B26" s="3" t="s">
        <v>289</v>
      </c>
      <c r="C26" s="3" t="s">
        <v>671</v>
      </c>
      <c r="D26" s="3" t="s">
        <v>1</v>
      </c>
      <c r="E26" s="3" t="s">
        <v>691</v>
      </c>
    </row>
    <row r="27" spans="1:5">
      <c r="A27" s="3">
        <v>216</v>
      </c>
      <c r="B27" s="3" t="s">
        <v>489</v>
      </c>
      <c r="C27" s="3" t="s">
        <v>671</v>
      </c>
      <c r="D27" s="3" t="s">
        <v>1</v>
      </c>
      <c r="E27" s="3" t="s">
        <v>691</v>
      </c>
    </row>
    <row r="28" spans="1:5">
      <c r="A28" s="3">
        <v>127</v>
      </c>
      <c r="B28" s="3" t="s">
        <v>306</v>
      </c>
      <c r="C28" s="3" t="s">
        <v>671</v>
      </c>
      <c r="D28" s="3" t="s">
        <v>2</v>
      </c>
      <c r="E28" s="3" t="s">
        <v>692</v>
      </c>
    </row>
    <row r="29" spans="1:5">
      <c r="A29" s="3">
        <v>250</v>
      </c>
      <c r="B29" s="3" t="s">
        <v>557</v>
      </c>
      <c r="C29" s="3" t="s">
        <v>671</v>
      </c>
      <c r="D29" s="3" t="s">
        <v>2</v>
      </c>
      <c r="E29" s="3" t="s">
        <v>692</v>
      </c>
    </row>
    <row r="30" spans="1:5">
      <c r="A30" s="3">
        <v>136</v>
      </c>
      <c r="B30" s="3" t="s">
        <v>324</v>
      </c>
      <c r="C30" s="3" t="s">
        <v>671</v>
      </c>
      <c r="D30" s="3" t="s">
        <v>6</v>
      </c>
      <c r="E30" s="3" t="s">
        <v>693</v>
      </c>
    </row>
    <row r="31" spans="1:5">
      <c r="A31" s="3">
        <v>264</v>
      </c>
      <c r="B31" s="3" t="s">
        <v>586</v>
      </c>
      <c r="C31" s="3" t="s">
        <v>671</v>
      </c>
      <c r="D31" s="3" t="s">
        <v>6</v>
      </c>
      <c r="E31" s="3" t="s">
        <v>693</v>
      </c>
    </row>
    <row r="32" spans="1:5">
      <c r="A32" s="3">
        <v>157</v>
      </c>
      <c r="B32" s="3" t="s">
        <v>368</v>
      </c>
      <c r="C32" s="3" t="s">
        <v>694</v>
      </c>
      <c r="D32" s="3" t="s">
        <v>9</v>
      </c>
      <c r="E32" s="3" t="s">
        <v>695</v>
      </c>
    </row>
    <row r="33" spans="1:5">
      <c r="A33" s="3">
        <v>228</v>
      </c>
      <c r="B33" s="3" t="s">
        <v>512</v>
      </c>
      <c r="C33" s="3" t="s">
        <v>694</v>
      </c>
      <c r="D33" s="3" t="s">
        <v>9</v>
      </c>
      <c r="E33" s="3" t="s">
        <v>696</v>
      </c>
    </row>
    <row r="34" spans="1:5">
      <c r="A34" s="3">
        <v>297</v>
      </c>
      <c r="B34" s="3" t="s">
        <v>655</v>
      </c>
      <c r="C34" s="3" t="s">
        <v>694</v>
      </c>
      <c r="D34" s="3" t="s">
        <v>9</v>
      </c>
      <c r="E34" s="3" t="s">
        <v>697</v>
      </c>
    </row>
    <row r="35" spans="1:5">
      <c r="A35" s="3">
        <v>273</v>
      </c>
      <c r="B35" s="3" t="s">
        <v>606</v>
      </c>
      <c r="C35" s="3" t="s">
        <v>679</v>
      </c>
      <c r="D35" s="3" t="s">
        <v>4</v>
      </c>
      <c r="E35" s="3" t="s">
        <v>698</v>
      </c>
    </row>
    <row r="36" spans="1:5">
      <c r="A36" s="3">
        <v>273</v>
      </c>
      <c r="B36" s="3" t="s">
        <v>606</v>
      </c>
      <c r="C36" s="3" t="s">
        <v>684</v>
      </c>
      <c r="D36" s="3" t="s">
        <v>5</v>
      </c>
      <c r="E36" s="3" t="s">
        <v>685</v>
      </c>
    </row>
    <row r="37" spans="1:5">
      <c r="A37" s="3">
        <v>291</v>
      </c>
      <c r="B37" s="3" t="s">
        <v>642</v>
      </c>
      <c r="C37" s="3" t="s">
        <v>679</v>
      </c>
      <c r="D37" s="3" t="s">
        <v>8</v>
      </c>
      <c r="E37" s="3" t="s">
        <v>699</v>
      </c>
    </row>
    <row r="38" spans="1:5">
      <c r="A38" s="3">
        <v>291</v>
      </c>
      <c r="B38" s="3" t="s">
        <v>642</v>
      </c>
      <c r="C38" s="3" t="s">
        <v>684</v>
      </c>
      <c r="D38" s="3" t="s">
        <v>7</v>
      </c>
      <c r="E38" s="3" t="s">
        <v>690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zoomScaleNormal="100" zoomScaleSheetLayoutView="100" workbookViewId="0"/>
  </sheetViews>
  <sheetFormatPr defaultRowHeight="15"/>
  <cols>
    <col min="1" max="1" width="10.875" customWidth="1"/>
    <col min="2" max="2" width="11" customWidth="1"/>
    <col min="3" max="3" width="19.625" customWidth="1"/>
    <col min="4" max="4" width="17.5" customWidth="1"/>
  </cols>
  <sheetData>
    <row r="1" spans="1:4">
      <c r="A1" s="1" t="s">
        <v>700</v>
      </c>
      <c r="B1" s="1" t="s">
        <v>701</v>
      </c>
      <c r="C1" s="1" t="s">
        <v>702</v>
      </c>
      <c r="D1" s="1" t="s">
        <v>703</v>
      </c>
    </row>
    <row r="2" spans="1:4">
      <c r="A2" t="s">
        <v>14</v>
      </c>
      <c r="B2" t="s">
        <v>16</v>
      </c>
      <c r="C2" t="s">
        <v>53</v>
      </c>
      <c r="D2" t="s">
        <v>76</v>
      </c>
    </row>
    <row r="3" spans="1:4">
      <c r="A3" t="s">
        <v>20</v>
      </c>
      <c r="B3" t="s">
        <v>41</v>
      </c>
      <c r="C3" t="s">
        <v>29</v>
      </c>
      <c r="D3" t="s">
        <v>15</v>
      </c>
    </row>
    <row r="4" spans="1:4">
      <c r="A4" t="s">
        <v>30</v>
      </c>
      <c r="B4" t="s">
        <v>46</v>
      </c>
      <c r="C4" t="s">
        <v>58</v>
      </c>
      <c r="D4" t="s">
        <v>81</v>
      </c>
    </row>
    <row r="5" spans="1:4">
      <c r="C5" t="s">
        <v>35</v>
      </c>
      <c r="D5" t="s">
        <v>40</v>
      </c>
    </row>
    <row r="6" spans="1:4">
      <c r="C6" t="s">
        <v>13</v>
      </c>
      <c r="D6" t="s">
        <v>21</v>
      </c>
    </row>
    <row r="7" spans="1:4">
      <c r="C7" t="s">
        <v>68</v>
      </c>
      <c r="D7" t="s">
        <v>31</v>
      </c>
    </row>
    <row r="8" spans="1:4">
      <c r="C8" t="s">
        <v>100</v>
      </c>
      <c r="D8" t="s">
        <v>50</v>
      </c>
    </row>
    <row r="9" spans="1:4">
      <c r="C9" t="s">
        <v>65</v>
      </c>
      <c r="D9" t="s">
        <v>45</v>
      </c>
    </row>
    <row r="10" spans="1:4">
      <c r="C10" t="s">
        <v>19</v>
      </c>
    </row>
    <row r="11" spans="1:4">
      <c r="C11" t="s">
        <v>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zoomScaleNormal="100" zoomScaleSheetLayoutView="100" workbookViewId="0"/>
  </sheetViews>
  <sheetFormatPr defaultRowHeight="15"/>
  <cols>
    <col min="1" max="2" width="32" customWidth="1"/>
  </cols>
  <sheetData>
    <row r="1" spans="1:2">
      <c r="A1" s="9" t="s">
        <v>704</v>
      </c>
      <c r="B1" s="9"/>
    </row>
    <row r="2" spans="1:2">
      <c r="A2" s="6" t="s">
        <v>705</v>
      </c>
      <c r="B2">
        <v>300</v>
      </c>
    </row>
    <row r="3" spans="1:2">
      <c r="A3" s="6" t="s">
        <v>706</v>
      </c>
      <c r="B3">
        <f>COUNTA(gabarito_erros!A2:A38)</f>
        <v>37</v>
      </c>
    </row>
    <row r="4" spans="1:2">
      <c r="A4" s="6" t="s">
        <v>707</v>
      </c>
      <c r="B4">
        <v>35</v>
      </c>
    </row>
    <row r="5" spans="1:2">
      <c r="A5" s="6" t="s">
        <v>708</v>
      </c>
      <c r="B5">
        <f>COUNTBLANK(dados_importacao!A2:A301)</f>
        <v>4</v>
      </c>
    </row>
    <row r="6" spans="1:2">
      <c r="A6" s="6" t="s">
        <v>709</v>
      </c>
      <c r="B6">
        <f>SUMPRODUCT(--(COUNTIF(dados_importacao!A2:A301,dados_importacao!A2:A301)&gt;1),--(dados_importacao!A2:A301&lt;&gt;""))</f>
        <v>10</v>
      </c>
    </row>
    <row r="7" spans="1:2">
      <c r="A7" s="6" t="s">
        <v>710</v>
      </c>
      <c r="B7">
        <f>COUNTIF(dados_importacao!E2:E301,"&lt;&gt;A")-COUNTIF(dados_importacao!E2:E301,"B")-COUNTIF(dados_importacao!E2:E301,"C")</f>
        <v>5</v>
      </c>
    </row>
    <row r="8" spans="1:2">
      <c r="A8" s="6" t="s">
        <v>711</v>
      </c>
      <c r="B8">
        <f>COUNTIF(dados_importacao!I2:I301,"&lt;&gt;ATIVO")-COUNTIF(dados_importacao!I2:I301,"PENDENTE")-COUNTIF(dados_importacao!I2:I301,"CANCELADO")</f>
        <v>4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0"/>
  <sheetViews>
    <sheetView zoomScaleNormal="100" zoomScaleSheetLayoutView="100" workbookViewId="0"/>
  </sheetViews>
  <sheetFormatPr defaultRowHeight="15"/>
  <cols>
    <col min="1" max="1" width="100" customWidth="1"/>
  </cols>
  <sheetData>
    <row r="1" spans="1:1">
      <c r="A1" s="7" t="s">
        <v>712</v>
      </c>
    </row>
    <row r="2" spans="1:1">
      <c r="A2" s="8" t="s">
        <v>713</v>
      </c>
    </row>
    <row r="3" spans="1:1">
      <c r="A3" s="3" t="s">
        <v>714</v>
      </c>
    </row>
    <row r="4" spans="1:1">
      <c r="A4" s="8" t="s">
        <v>715</v>
      </c>
    </row>
    <row r="5" spans="1:1">
      <c r="A5" s="3" t="s">
        <v>716</v>
      </c>
    </row>
    <row r="6" spans="1:1">
      <c r="A6" s="3" t="s">
        <v>717</v>
      </c>
    </row>
    <row r="7" spans="1:1">
      <c r="A7" s="3" t="s">
        <v>718</v>
      </c>
    </row>
    <row r="8" spans="1:1">
      <c r="A8" s="3" t="s">
        <v>719</v>
      </c>
    </row>
    <row r="9" spans="1:1">
      <c r="A9" s="3" t="s">
        <v>720</v>
      </c>
    </row>
    <row r="10" spans="1:1">
      <c r="A10" s="8" t="s">
        <v>721</v>
      </c>
    </row>
    <row r="11" spans="1:1">
      <c r="A11" s="3" t="s">
        <v>722</v>
      </c>
    </row>
    <row r="12" spans="1:1">
      <c r="A12" s="3" t="s">
        <v>723</v>
      </c>
    </row>
    <row r="13" spans="1:1">
      <c r="A13" s="3" t="s">
        <v>724</v>
      </c>
    </row>
    <row r="14" spans="1:1">
      <c r="A14" s="3" t="s">
        <v>725</v>
      </c>
    </row>
    <row r="15" spans="1:1">
      <c r="A15" s="3" t="s">
        <v>726</v>
      </c>
    </row>
    <row r="16" spans="1:1">
      <c r="A16" s="3" t="s">
        <v>727</v>
      </c>
    </row>
    <row r="17" spans="1:1">
      <c r="A17" s="3" t="s">
        <v>728</v>
      </c>
    </row>
    <row r="18" spans="1:1">
      <c r="A18" s="3" t="s">
        <v>729</v>
      </c>
    </row>
    <row r="19" spans="1:1">
      <c r="A19" s="8" t="s">
        <v>730</v>
      </c>
    </row>
    <row r="20" spans="1:1">
      <c r="A20" s="3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0ae0fe-6f0b-49da-9128-990f59ca65a5">
      <Terms xmlns="http://schemas.microsoft.com/office/infopath/2007/PartnerControls"/>
    </lcf76f155ced4ddcb4097134ff3c332f>
    <TaxCatchAll xmlns="760d711f-f92f-41e3-9d5b-67d53a25d3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C0B115C0DA45D419FA16F48B948FD74" ma:contentTypeVersion="11" ma:contentTypeDescription="Crie um novo documento." ma:contentTypeScope="" ma:versionID="af9ba6ca8f140bfdf7c15519a9a5d30c">
  <xsd:schema xmlns:xsd="http://www.w3.org/2001/XMLSchema" xmlns:xs="http://www.w3.org/2001/XMLSchema" xmlns:p="http://schemas.microsoft.com/office/2006/metadata/properties" xmlns:ns2="070ae0fe-6f0b-49da-9128-990f59ca65a5" xmlns:ns3="760d711f-f92f-41e3-9d5b-67d53a25d3a5" targetNamespace="http://schemas.microsoft.com/office/2006/metadata/properties" ma:root="true" ma:fieldsID="58e065df6332e617ef24d015d4040799" ns2:_="" ns3:_="">
    <xsd:import namespace="070ae0fe-6f0b-49da-9128-990f59ca65a5"/>
    <xsd:import namespace="760d711f-f92f-41e3-9d5b-67d53a25d3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ae0fe-6f0b-49da-9128-990f59ca6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0d711f-f92f-41e3-9d5b-67d53a25d3a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6fe9201-4f01-44ba-b189-349ed07767f2}" ma:internalName="TaxCatchAll" ma:showField="CatchAllData" ma:web="760d711f-f92f-41e3-9d5b-67d53a25d3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B823EB-CB16-47FD-9A44-9C6B520BD94B}"/>
</file>

<file path=customXml/itemProps2.xml><?xml version="1.0" encoding="utf-8"?>
<ds:datastoreItem xmlns:ds="http://schemas.openxmlformats.org/officeDocument/2006/customXml" ds:itemID="{19F15E23-4BF3-4019-BF1C-B0FF4458F770}"/>
</file>

<file path=customXml/itemProps3.xml><?xml version="1.0" encoding="utf-8"?>
<ds:datastoreItem xmlns:ds="http://schemas.openxmlformats.org/officeDocument/2006/customXml" ds:itemID="{E0F279A4-1AC2-47EA-B65B-A456EC20F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NATHALIA SANTOS FERREIRA</cp:lastModifiedBy>
  <cp:revision/>
  <dcterms:created xsi:type="dcterms:W3CDTF">2026-09-03T21:51:20Z</dcterms:created>
  <dcterms:modified xsi:type="dcterms:W3CDTF">2026-09-03T21:51:20Z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0x010100FC0B115C0DA45D419FA16F48B948FD74</vt:lpwstr>
  </property>
  <property fmtid="{D5CDD505-2E9C-101B-9397-08002B2CF9AE}" pid="3" name="MediaServiceImageTags">
    <vt:lpwstr/>
  </property>
</Properties>
</file>